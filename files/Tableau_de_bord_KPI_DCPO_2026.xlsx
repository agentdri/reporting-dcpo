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OC-AFB\2026\MAI\projet-dcpo\"/>
    </mc:Choice>
  </mc:AlternateContent>
  <bookViews>
    <workbookView xWindow="0" yWindow="0" windowWidth="17256" windowHeight="5772" activeTab="1"/>
  </bookViews>
  <sheets>
    <sheet name="DAI" sheetId="9" r:id="rId1"/>
    <sheet name="PAC DCPO" sheetId="7" r:id="rId2"/>
  </sheets>
  <externalReferences>
    <externalReference r:id="rId3"/>
    <externalReference r:id="rId4"/>
    <externalReference r:id="rId5"/>
    <externalReference r:id="rId6"/>
  </externalReferences>
  <definedNames>
    <definedName name="_xlnm._FilterDatabase" localSheetId="0" hidden="1">DAI!$A$11:$O$13</definedName>
    <definedName name="Acteurs">'[1]#Acteurs SGR#'!$B$3:$B$74</definedName>
    <definedName name="code_risque">OFFSET('[2]Risques Génériques'!$B$2,0,0,COUNTA('[2]Risques Génériques'!$B:$B)-1)</definedName>
    <definedName name="Familles">'[1]#Echelles#'!$A$33:$A$39</definedName>
    <definedName name="Impact">'[1]#Listes#'!$B$2:$B$5</definedName>
    <definedName name="Probabilité">'[1]#Listes#'!$B$8:$B$11</definedName>
    <definedName name="PROCESSUS">[3]Parametres!$AA$2:$AA$16</definedName>
    <definedName name="risque">OFFSET('[4]risques génériques'!$B$2,0,0,COUNTA('[4]risques génériques'!$B:$B)-1)</definedName>
    <definedName name="risques_generiques">'[4]risques génériques'!$B$1:$C$76</definedName>
    <definedName name="risques_génériques">'[2]Risques Génériques'!$B$1:$C$74</definedName>
    <definedName name="SCRDISP">'[1]#Listes#'!$A$13:$A$18</definedName>
    <definedName name="STTPAO">'[1]#Listes#'!$A$27:$A$31</definedName>
    <definedName name="STTPAS">'[1]#Listes#'!$A$34:$A$41</definedName>
    <definedName name="TP">'[1]#Listes#'!$A$2:$A$4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 i="9" l="1"/>
  <c r="F9" i="9" s="1"/>
  <c r="E8" i="9"/>
  <c r="F8" i="9" s="1"/>
  <c r="E7" i="9"/>
  <c r="F7" i="9" s="1"/>
  <c r="E6" i="9"/>
  <c r="F6" i="9" s="1"/>
  <c r="I9" i="7"/>
  <c r="I8" i="7"/>
  <c r="J8" i="7" s="1"/>
  <c r="I7" i="7"/>
  <c r="J7" i="7" s="1"/>
  <c r="J6" i="7"/>
  <c r="I6" i="7"/>
</calcChain>
</file>

<file path=xl/sharedStrings.xml><?xml version="1.0" encoding="utf-8"?>
<sst xmlns="http://schemas.openxmlformats.org/spreadsheetml/2006/main" count="178" uniqueCount="130">
  <si>
    <t>KPI</t>
  </si>
  <si>
    <t>KAMEDA</t>
  </si>
  <si>
    <t>TCHINDA</t>
  </si>
  <si>
    <t>DCPO</t>
  </si>
  <si>
    <t>ETAT DE SURVEILLANCE DES PLAN D'ACTION CORRECTIF</t>
  </si>
  <si>
    <t>ETAT DES RESOLUTIONS</t>
  </si>
  <si>
    <t xml:space="preserve">NOMBRE </t>
  </si>
  <si>
    <t>%</t>
  </si>
  <si>
    <t>Exécutée</t>
  </si>
  <si>
    <t>En cours</t>
  </si>
  <si>
    <t>Non Exécutée</t>
  </si>
  <si>
    <t xml:space="preserve">TOTAL </t>
  </si>
  <si>
    <t>Ordre</t>
  </si>
  <si>
    <t>Source PAC</t>
  </si>
  <si>
    <t>Date</t>
  </si>
  <si>
    <t>Intitulés PAC</t>
  </si>
  <si>
    <t>Description du probleme</t>
  </si>
  <si>
    <t>Causes immédiate</t>
  </si>
  <si>
    <t>Causes racines (profondes/reelles)</t>
  </si>
  <si>
    <t>Determination des actions correctives</t>
  </si>
  <si>
    <t>Directions concernées</t>
  </si>
  <si>
    <t xml:space="preserve">Échéance </t>
  </si>
  <si>
    <t>ANNEE</t>
  </si>
  <si>
    <t>Responsable de mise en œuvre</t>
  </si>
  <si>
    <t>Statut anomalie</t>
  </si>
  <si>
    <t>Observations</t>
  </si>
  <si>
    <t>Derniere date d'Evaluation</t>
  </si>
  <si>
    <t>NOUVEAU DELAI PROPOSE</t>
  </si>
  <si>
    <t>MEO  de la DCPO</t>
  </si>
  <si>
    <t>frais de convention </t>
  </si>
  <si>
    <t>frais de convention SSP</t>
  </si>
  <si>
    <t>Non prelevement des frais de convention SSP redigé par la DJC</t>
  </si>
  <si>
    <t>Defaut de surveillance du prelevement des commissions</t>
  </si>
  <si>
    <t>Actions manuelles et liste des convention non connues</t>
  </si>
  <si>
    <t>DJC</t>
  </si>
  <si>
    <t>100% de frais preleve</t>
  </si>
  <si>
    <t>YONDJE /KENGUE</t>
  </si>
  <si>
    <t xml:space="preserve">commissions d’engagement sur les tirages </t>
  </si>
  <si>
    <t>commissions d’engagement sur les tirages des clients bénéficiant des lignes</t>
  </si>
  <si>
    <t>Non prelevement des commission d'engagement sur les lignes de finanacements</t>
  </si>
  <si>
    <t>Interprétations diverses des métiers , certains estiment que ces frais doivent etre prelevé sur la ligne et d'autres sur les tirage, or, le système ne permet pas le prelevement auto sur les lignes</t>
  </si>
  <si>
    <t>Condition de banque ambiguê</t>
  </si>
  <si>
    <r>
      <rPr>
        <sz val="11"/>
        <color theme="1"/>
        <rFont val="Calibri"/>
        <family val="2"/>
        <scheme val="minor"/>
      </rPr>
      <t>  Nous préconisons le prélèvement systématique à chaque tirage.</t>
    </r>
  </si>
  <si>
    <t>DCE</t>
  </si>
  <si>
    <t>100 % prelevés à la Mise en place</t>
  </si>
  <si>
    <t>wamba/kengue</t>
  </si>
  <si>
    <t>Mise en place d'une transaction banalisée pour le prelevement et suivi effectué hebdomadairement</t>
  </si>
  <si>
    <t>Contrôle administratifs</t>
  </si>
  <si>
    <t>justifier les poste comptes 382 avec les pieces comptables</t>
  </si>
  <si>
    <t>risque de transfert à la CDEC</t>
  </si>
  <si>
    <t>Absence de surveillance du denouement de ces operations</t>
  </si>
  <si>
    <t>Obtenir les pieces justificatives</t>
  </si>
  <si>
    <t>equilibre des lots par agence dans INTRA ods</t>
  </si>
  <si>
    <t>les unités saissent les ecritures desequilibrées par agence ce qui créent les difere ordinateur apres comptabilisation</t>
  </si>
  <si>
    <t>regularisation des comptes de differé</t>
  </si>
  <si>
    <t>Revoir le modules INTRA OD pour integrer le contrôle de l'equilibre des lots par agence</t>
  </si>
  <si>
    <t>DSI</t>
  </si>
  <si>
    <t>100% lot sans différé comptabilisé</t>
  </si>
  <si>
    <t>FOPA</t>
  </si>
  <si>
    <t xml:space="preserve">Fiche de maintenance applicative transmise le 24/02/2026, Fiche de mise en production validée en attendte de deploiement </t>
  </si>
  <si>
    <t>certains virements E-firsts interagences qui débitent le compte de l’émetteur sans créditer celui du bénéficiaire</t>
  </si>
  <si>
    <t>Debit du client sans credit du beneficiare sur une operation E first</t>
  </si>
  <si>
    <t>Regularisation du compte liaison avec le DAP virement</t>
  </si>
  <si>
    <t>Dysfonctionnement du module</t>
  </si>
  <si>
    <t>Remplacement du module E first par le DBS</t>
  </si>
  <si>
    <t>100% des virement bien denoué</t>
  </si>
  <si>
    <t>TEGHUO</t>
  </si>
  <si>
    <t>Frais d'etude et convention prelevés doublement via INTRA</t>
  </si>
  <si>
    <t>Depuis un certains temps les frais d'etude de dossier et les frais de convention SSP sur les credit programmes sont prélévés plusieurs fois dans le compte du clients</t>
  </si>
  <si>
    <t>les comptes des clienst sont debités plusieurs fois des frais alors que ces derniers n'ont beneficié que d'un credit, les debiet en compte portent le meme libéllé de l'operation</t>
  </si>
  <si>
    <t>Dysfonctionnement du module de  prelevement des frais INTRA</t>
  </si>
  <si>
    <t>Extourne des sommes indus et reversment aux clients</t>
  </si>
  <si>
    <t>100% de prelevement des frais doivenet correspondre au services rendus</t>
  </si>
  <si>
    <t>Fiche de maintenat applicative transmise le 05/03/2026</t>
  </si>
  <si>
    <t>Des lignes de finanacement  internes qui sont prorogées automatiquement</t>
  </si>
  <si>
    <t>La remarque que nous avons faite au fil du temps est que l'échéance de la ligne s'alignait à celle de la "dernière" utilisation. Le cas du client 00000045112 ou 03 lignes CCT ont la meme echeance</t>
  </si>
  <si>
    <t>Dysfonctionnement du module des lignes</t>
  </si>
  <si>
    <t>La transaction banalisée est effective depuis le debut du mois d Avril 2026</t>
  </si>
  <si>
    <t>DASH BORD suivi delai de MEP credit</t>
  </si>
  <si>
    <t>Suivi des delais de mise en place dans les unités</t>
  </si>
  <si>
    <t>objectif suivre que les dossiers des clients ne trainent pas dans les unités</t>
  </si>
  <si>
    <t>retard dans les finanacement et entrainant les impayés à termes</t>
  </si>
  <si>
    <t>lenteur et chantages aux clients</t>
  </si>
  <si>
    <t>mettre en place un outil de surveillance du temps mis par les dossiers au niveau des gestionnaires</t>
  </si>
  <si>
    <t>100% des dossiers MEP dans les delais</t>
  </si>
  <si>
    <t>ETAT DE SYNTHESE  DE LA MISE EN ŒUVRE DES RECOMMANDATION DAI</t>
  </si>
  <si>
    <t>N</t>
  </si>
  <si>
    <t xml:space="preserve">TYPE DE MISSION </t>
  </si>
  <si>
    <t>THEME/TITRE  DE LA MISSION</t>
  </si>
  <si>
    <t>UNITES</t>
  </si>
  <si>
    <t>RESEAU</t>
  </si>
  <si>
    <t>UD=UC</t>
  </si>
  <si>
    <t>SYNTHESE DU CONSTAT/ECART</t>
  </si>
  <si>
    <t>CAUSES PROFONDE</t>
  </si>
  <si>
    <t>CONSEQUENCES</t>
  </si>
  <si>
    <t>NIVEAU DE RISQUE</t>
  </si>
  <si>
    <t>ACTIONS CORRECTIVES /RECOMMANDATIONS</t>
  </si>
  <si>
    <t>RESPONSABLE DE LA MEO</t>
  </si>
  <si>
    <t>UNITE RESPONSABLE DE MISE EN OEUVRE</t>
  </si>
  <si>
    <t>DÉLAI INITIAL</t>
  </si>
  <si>
    <t>CRITERES D'EFFICACITE</t>
  </si>
  <si>
    <t>STATUT</t>
  </si>
  <si>
    <t>OBSERVATIONS</t>
  </si>
  <si>
    <t>Colonne1</t>
  </si>
  <si>
    <t>Decision_REGROUPEMENT_SMART</t>
  </si>
  <si>
    <t>Colonne2</t>
  </si>
  <si>
    <t xml:space="preserve">ASSURANCE </t>
  </si>
  <si>
    <t>AUDIT THEMATIQUE SUR LES CAUTIONS</t>
  </si>
  <si>
    <t>DIRECTION CENTRALE</t>
  </si>
  <si>
    <t>UNITES CENTRALES</t>
  </si>
  <si>
    <t xml:space="preserve">Les principes et règles applicables prescrivent l’inventaire mensuel des imprimés de cautions. La gestion de ces imprimés doit être telle que chaque imprimé doit être suivi avec explication de la destination de chaque papier-caution. Notre revue nous a donné de constater que l’inventaire des existants n’est pas effectué mensuellement. De facto, il n’est pas possible de savoir à temps réel l’état des stocks des papiers caution. </t>
  </si>
  <si>
    <t xml:space="preserve">LA DCPO se contente d’effectue un contrôle annuel des imprimés de cautions dans les agences, et cette fréquence est insuffisante au regard des risques de fraudes non décelés au sein de l’unité </t>
  </si>
  <si>
    <t>Sans inventaire des imprimés, nous n’avons pas une vision claire de l’utilisation des papiers caution, ce qui nous empêche de garantir que ces documents sont utilisés de manière appropriée. Une personne mal intentionnée pourrait utiliser des papiers caution sans que cela soit enregistré dans le système, ce qui rendrait impossible l’établissement des responsabilités.</t>
  </si>
  <si>
    <t>Moyen</t>
  </si>
  <si>
    <t xml:space="preserve">La DCPO est invitée à réviser la fréquence des contrôles d’imprimés de cautions pour une meilleure prévention des risques des risques de fraudes  </t>
  </si>
  <si>
    <t>DIRECTEUR DU CONTRÔLE PERMANENT DES OPERATIONS</t>
  </si>
  <si>
    <t>UNITES CENTRALISEES</t>
  </si>
  <si>
    <t>Inventaire à périodicité courte voire permanent</t>
  </si>
  <si>
    <t>A</t>
  </si>
  <si>
    <t>AUDIT INTEGRAL FIRST BANK HIPPODROME</t>
  </si>
  <si>
    <t>HIPPODROME</t>
  </si>
  <si>
    <t>RESEAU YAOUNDE CENTRE</t>
  </si>
  <si>
    <t>UNITES DECENTRALISEES</t>
  </si>
  <si>
    <t>Deficience du contrôle inopines des caisses
l'analyse des frequences des controles inopinés faits sur la base des rapports de controles obtenus a mis en évidence une couverture inadéquate des risques a l'endroit des 14 caisses de la succursale: certaines caisses sont controlées de manière régulière, comme la caisse "MODJ" tandis que d'autres, notamment "AKOM" et "TCTC", font l'objet d'une faible fréquence de controle</t>
  </si>
  <si>
    <t>cette situation procede d'un manque de planification confidentielle du responsable des operations eu egard au nombre considerable des caisses de cette unite</t>
  </si>
  <si>
    <t>risques de fraude et de manipulation diverses dont peuvent etre l'objet les fonds detenus en caisse</t>
  </si>
  <si>
    <t>Elevé</t>
  </si>
  <si>
    <t>Tenir un agenda confidentiel de supervision, avec des plages réservées, afin d'assurer une couverture optimale des caisses en termes de perimètre et de fréquences de contrôle</t>
  </si>
  <si>
    <t>rapport de contrôle inopinés</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</si>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</sst>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font>
      <sz val="11"/>
      <color theme="1"/>
      <name val="Calibri"/>
      <family val="2"/>
      <scheme val="minor"/>
    </font>
    <font>
      <b/>
      <sz val="12"/>
      <color theme="0"/>
      <name val="Rockwell"/>
      <family val="1"/>
    </font>
    <font>
      <b/>
      <sz val="11"/>
      <color theme="1"/>
      <name val="Calibri"/>
      <family val="2"/>
      <scheme val="minor"/>
    </font>
    <font>
      <sz val="18"/>
      <color theme="1"/>
      <name val="Algerian"/>
      <family val="5"/>
    </font>
    <font>
      <sz val="14"/>
      <color theme="1"/>
      <name val="CaIibri"/>
    </font>
    <font>
      <b/>
      <sz val="20"/>
      <color rgb="FF000000"/>
      <name val="Agency FB"/>
      <family val="2"/>
    </font>
    <font>
      <b/>
      <sz val="20"/>
      <color rgb="FF00B050"/>
      <name val="Agency FB"/>
      <family val="2"/>
    </font>
    <font>
      <b/>
      <sz val="20"/>
      <color rgb="FFE26B0A"/>
      <name val="Agency FB"/>
      <family val="2"/>
    </font>
    <font>
      <b/>
      <sz val="20"/>
      <color rgb="FFF79646"/>
      <name val="Agency FB"/>
      <family val="2"/>
    </font>
    <font>
      <b/>
      <sz val="20"/>
      <color rgb="FFFF0000"/>
      <name val="Agency FB"/>
      <family val="2"/>
    </font>
    <font>
      <b/>
      <sz val="20"/>
      <color theme="1"/>
      <name val="Agency FB"/>
      <family val="2"/>
    </font>
    <font>
      <b/>
      <sz val="11"/>
      <color rgb="FFFF0000"/>
      <name val="Times New Roman"/>
      <family val="1"/>
    </font>
    <font>
      <b/>
      <sz val="10"/>
      <color theme="0"/>
      <name val="Rockwell"/>
      <family val="1"/>
    </font>
    <font>
      <b/>
      <sz val="11"/>
      <color rgb="FF000000"/>
      <name val="Calibri"/>
      <family val="2"/>
      <scheme val="minor"/>
    </font>
    <font>
      <b/>
      <sz val="11.5"/>
      <color rgb="FFFFFFFF"/>
      <name val="Trebuchet MS"/>
      <family val="2"/>
    </font>
    <font>
      <sz val="11"/>
      <color theme="1"/>
      <name val="Trebuchet MS"/>
      <family val="2"/>
    </font>
    <font>
      <b/>
      <sz val="11"/>
      <color theme="0"/>
      <name val="Trebuchet MS"/>
      <family val="2"/>
    </font>
    <font>
      <b/>
      <sz val="11.5"/>
      <color theme="0"/>
      <name val="Trebuchet MS"/>
      <family val="2"/>
    </font>
    <font>
      <b/>
      <sz val="11.5"/>
      <color theme="0"/>
      <name val="Arial"/>
      <family val="2"/>
    </font>
    <font>
      <sz val="11"/>
      <color rgb="FFFFFFFF"/>
      <name val="Trebuchet MS"/>
      <family val="2"/>
    </font>
    <font>
      <b/>
      <sz val="11.5"/>
      <color rgb="FFFFFFFF"/>
      <name val="Arial"/>
      <family val="2"/>
    </font>
    <font>
      <sz val="11"/>
      <color theme="0"/>
      <name val="Trebuchet MS"/>
      <family val="2"/>
    </font>
  </fonts>
  <fills count="11">
    <fill>
      <patternFill patternType="none"/>
    </fill>
    <fill>
      <patternFill patternType="gray125"/>
    </fill>
    <fill>
      <patternFill patternType="solid">
        <fgColor rgb="FFC00000"/>
        <bgColor indexed="64"/>
      </patternFill>
    </fill>
    <fill>
      <patternFill patternType="solid">
        <fgColor theme="0"/>
        <bgColor indexed="64"/>
      </patternFill>
    </fill>
    <fill>
      <patternFill patternType="solid">
        <fgColor theme="4" tint="0.79998168889431442"/>
        <bgColor indexed="64"/>
      </patternFill>
    </fill>
    <fill>
      <patternFill patternType="solid">
        <fgColor rgb="FFFFCCFF"/>
        <bgColor indexed="64"/>
      </patternFill>
    </fill>
    <fill>
      <patternFill patternType="solid">
        <fgColor rgb="FF002060"/>
        <bgColor indexed="64"/>
      </patternFill>
    </fill>
    <fill>
      <patternFill patternType="solid">
        <fgColor rgb="FFD9D9D9"/>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style="double">
        <color rgb="FFFF0000"/>
      </top>
      <bottom/>
      <diagonal/>
    </border>
    <border>
      <left/>
      <right/>
      <top/>
      <bottom style="thin">
        <color rgb="FFFF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000000"/>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rgb="FFC00000"/>
      </left>
      <right style="thin">
        <color rgb="FFC00000"/>
      </right>
      <top style="medium">
        <color rgb="FFC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94">
    <xf numFmtId="0" fontId="0" fillId="0" borderId="0" xfId="0"/>
    <xf numFmtId="0" fontId="0" fillId="0" borderId="0" xfId="0" applyAlignment="1">
      <alignment wrapText="1"/>
    </xf>
    <xf numFmtId="0" fontId="2"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4" fillId="0" borderId="0" xfId="0" applyFont="1" applyAlignment="1">
      <alignment horizontal="center" vertical="center" wrapText="1"/>
    </xf>
    <xf numFmtId="0" fontId="4" fillId="0" borderId="0" xfId="0" applyFont="1"/>
    <xf numFmtId="0" fontId="4" fillId="0" borderId="0" xfId="0" applyFont="1" applyAlignment="1">
      <alignment horizontal="center" vertical="center"/>
    </xf>
    <xf numFmtId="0" fontId="4" fillId="0" borderId="0" xfId="0" applyFont="1" applyAlignment="1">
      <alignment wrapText="1"/>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9" fontId="6" fillId="0" borderId="8" xfId="0" applyNumberFormat="1" applyFont="1" applyBorder="1" applyAlignment="1">
      <alignment horizontal="center" vertical="center"/>
    </xf>
    <xf numFmtId="0" fontId="7" fillId="0" borderId="6" xfId="0" applyFont="1" applyBorder="1" applyAlignment="1">
      <alignment horizontal="center" vertical="center"/>
    </xf>
    <xf numFmtId="9" fontId="8" fillId="0" borderId="8" xfId="0" applyNumberFormat="1" applyFont="1" applyBorder="1" applyAlignment="1">
      <alignment horizontal="center" vertical="center"/>
    </xf>
    <xf numFmtId="0" fontId="9" fillId="0" borderId="6" xfId="0" applyFont="1" applyBorder="1" applyAlignment="1">
      <alignment horizontal="center" vertical="center"/>
    </xf>
    <xf numFmtId="9" fontId="9" fillId="0" borderId="8" xfId="0" applyNumberFormat="1" applyFont="1" applyBorder="1" applyAlignment="1">
      <alignment horizontal="center" vertical="center"/>
    </xf>
    <xf numFmtId="0" fontId="5" fillId="0" borderId="6" xfId="0" applyFont="1" applyBorder="1" applyAlignment="1">
      <alignment horizontal="center" vertical="center"/>
    </xf>
    <xf numFmtId="0" fontId="10" fillId="0" borderId="7" xfId="0" applyFont="1" applyBorder="1" applyAlignment="1">
      <alignment horizontal="center" vertical="center"/>
    </xf>
    <xf numFmtId="9" fontId="10" fillId="0" borderId="7" xfId="0" applyNumberFormat="1" applyFont="1" applyBorder="1" applyAlignment="1">
      <alignment horizontal="center" vertical="center"/>
    </xf>
    <xf numFmtId="0" fontId="11" fillId="5" borderId="9" xfId="0" applyFont="1" applyFill="1" applyBorder="1" applyAlignment="1">
      <alignment horizontal="center" vertical="center" wrapText="1"/>
    </xf>
    <xf numFmtId="0" fontId="12" fillId="6" borderId="10" xfId="0" applyFont="1" applyFill="1" applyBorder="1" applyAlignment="1">
      <alignment horizontal="center" vertical="center" wrapText="1"/>
    </xf>
    <xf numFmtId="0" fontId="13" fillId="7" borderId="9" xfId="0" applyFont="1" applyFill="1" applyBorder="1" applyAlignment="1">
      <alignment vertical="center" wrapText="1"/>
    </xf>
    <xf numFmtId="0" fontId="14" fillId="2" borderId="9" xfId="0" applyFont="1" applyFill="1" applyBorder="1" applyAlignment="1">
      <alignment horizontal="center" vertical="center" wrapText="1"/>
    </xf>
    <xf numFmtId="0" fontId="11" fillId="8" borderId="9"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14" fontId="0" fillId="0" borderId="1" xfId="0" applyNumberFormat="1" applyBorder="1" applyAlignment="1">
      <alignment vertical="center" wrapText="1"/>
    </xf>
    <xf numFmtId="0" fontId="0" fillId="0" borderId="1" xfId="0" applyBorder="1" applyAlignment="1">
      <alignment vertical="center"/>
    </xf>
    <xf numFmtId="14" fontId="0" fillId="0" borderId="1" xfId="0" applyNumberFormat="1" applyBorder="1" applyAlignment="1">
      <alignment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justify" vertical="center" wrapText="1"/>
    </xf>
    <xf numFmtId="0" fontId="0" fillId="0" borderId="1" xfId="0" applyBorder="1" applyAlignment="1">
      <alignment horizontal="center"/>
    </xf>
    <xf numFmtId="0" fontId="0" fillId="0" borderId="1" xfId="0" applyBorder="1" applyAlignment="1">
      <alignment wrapText="1"/>
    </xf>
    <xf numFmtId="0" fontId="0" fillId="0" borderId="1" xfId="0" applyBorder="1"/>
    <xf numFmtId="0" fontId="15" fillId="0" borderId="1" xfId="0" applyFont="1" applyBorder="1" applyAlignment="1">
      <alignment horizontal="center" vertical="center"/>
    </xf>
    <xf numFmtId="0" fontId="15" fillId="0" borderId="0" xfId="0" applyFont="1"/>
    <xf numFmtId="0" fontId="15" fillId="0" borderId="0" xfId="0" applyFont="1" applyAlignment="1">
      <alignment wrapText="1"/>
    </xf>
    <xf numFmtId="0" fontId="15" fillId="0" borderId="0" xfId="0" applyFont="1" applyAlignment="1">
      <alignment horizontal="center" vertical="center"/>
    </xf>
    <xf numFmtId="0" fontId="15" fillId="0" borderId="0" xfId="0" applyFont="1" applyAlignment="1">
      <alignment horizontal="left" vertical="center"/>
    </xf>
    <xf numFmtId="0" fontId="16" fillId="0" borderId="0" xfId="0" applyFont="1"/>
    <xf numFmtId="0" fontId="15" fillId="0" borderId="0" xfId="0" applyFont="1" applyAlignment="1">
      <alignment horizontal="left"/>
    </xf>
    <xf numFmtId="0" fontId="0" fillId="0" borderId="0" xfId="0" applyAlignment="1">
      <alignment horizontal="center" vertical="center"/>
    </xf>
    <xf numFmtId="0" fontId="17" fillId="10" borderId="1"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18" fillId="9"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9" fontId="6" fillId="0" borderId="8" xfId="0" applyNumberFormat="1" applyFont="1" applyBorder="1" applyAlignment="1">
      <alignment horizontal="center" vertical="center" wrapText="1"/>
    </xf>
    <xf numFmtId="0" fontId="18" fillId="2" borderId="1" xfId="0" applyFont="1" applyFill="1" applyBorder="1" applyAlignment="1">
      <alignment horizontal="center" vertical="center" wrapText="1"/>
    </xf>
    <xf numFmtId="0" fontId="7" fillId="0" borderId="6" xfId="0" applyFont="1" applyBorder="1" applyAlignment="1">
      <alignment horizontal="center" vertical="center" wrapText="1"/>
    </xf>
    <xf numFmtId="9" fontId="8" fillId="0" borderId="8" xfId="0" applyNumberFormat="1" applyFont="1" applyBorder="1" applyAlignment="1">
      <alignment horizontal="center" vertical="center" wrapText="1"/>
    </xf>
    <xf numFmtId="0" fontId="9" fillId="0" borderId="6" xfId="0" applyFont="1" applyBorder="1" applyAlignment="1">
      <alignment horizontal="center" vertical="center" wrapText="1"/>
    </xf>
    <xf numFmtId="9" fontId="9" fillId="0" borderId="8" xfId="0" applyNumberFormat="1" applyFont="1" applyBorder="1" applyAlignment="1">
      <alignment horizontal="center" vertical="center" wrapText="1"/>
    </xf>
    <xf numFmtId="0" fontId="5" fillId="0" borderId="6" xfId="0" applyFont="1" applyBorder="1" applyAlignment="1">
      <alignment horizontal="center" vertical="center" wrapText="1"/>
    </xf>
    <xf numFmtId="0" fontId="10" fillId="0" borderId="7" xfId="0" applyFont="1" applyBorder="1" applyAlignment="1">
      <alignment horizontal="center" vertical="center" wrapText="1"/>
    </xf>
    <xf numFmtId="9" fontId="10" fillId="0" borderId="7" xfId="0" applyNumberFormat="1" applyFont="1" applyBorder="1" applyAlignment="1">
      <alignment horizontal="center" vertical="center" wrapText="1"/>
    </xf>
    <xf numFmtId="9" fontId="10" fillId="0" borderId="0" xfId="0" applyNumberFormat="1" applyFont="1" applyAlignment="1">
      <alignment horizontal="center" vertical="center" wrapText="1"/>
    </xf>
    <xf numFmtId="0" fontId="16" fillId="0" borderId="0" xfId="0" applyFont="1" applyAlignment="1">
      <alignment horizontal="left" vertical="center"/>
    </xf>
    <xf numFmtId="0" fontId="14"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0" fillId="2" borderId="1" xfId="0" applyFont="1" applyFill="1" applyBorder="1" applyAlignment="1">
      <alignment horizontal="left" vertical="center" wrapText="1"/>
    </xf>
    <xf numFmtId="0" fontId="14" fillId="2" borderId="14" xfId="0" applyFont="1" applyFill="1" applyBorder="1" applyAlignment="1">
      <alignment horizontal="center" vertical="center" wrapText="1"/>
    </xf>
    <xf numFmtId="0" fontId="21" fillId="0" borderId="0" xfId="0" applyFont="1"/>
    <xf numFmtId="0" fontId="15" fillId="0" borderId="1"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xf>
    <xf numFmtId="14" fontId="15" fillId="0" borderId="1" xfId="0" applyNumberFormat="1" applyFont="1" applyBorder="1" applyAlignment="1">
      <alignment horizontal="center" vertical="center" wrapText="1"/>
    </xf>
    <xf numFmtId="0" fontId="15" fillId="0" borderId="9" xfId="0" applyFont="1" applyBorder="1" applyAlignment="1">
      <alignment horizontal="center" vertical="center" wrapText="1"/>
    </xf>
    <xf numFmtId="0" fontId="15" fillId="0" borderId="1" xfId="0" applyFont="1" applyBorder="1"/>
    <xf numFmtId="0" fontId="15" fillId="0" borderId="17" xfId="0" applyFont="1" applyBorder="1" applyAlignment="1">
      <alignment horizontal="center" vertical="center" wrapText="1"/>
    </xf>
    <xf numFmtId="0" fontId="15" fillId="0" borderId="18" xfId="0" applyFont="1" applyBorder="1" applyAlignment="1">
      <alignment horizontal="left" vertical="center" wrapText="1"/>
    </xf>
    <xf numFmtId="0" fontId="15" fillId="0" borderId="9" xfId="0" applyFont="1" applyBorder="1" applyAlignment="1" applyProtection="1">
      <alignment horizontal="left" vertical="center" wrapText="1"/>
      <protection hidden="1"/>
    </xf>
    <xf numFmtId="0" fontId="15" fillId="0" borderId="9" xfId="0" applyFont="1" applyBorder="1" applyAlignment="1">
      <alignment horizontal="left" vertical="center" wrapText="1"/>
    </xf>
    <xf numFmtId="14" fontId="15" fillId="0" borderId="9" xfId="0" applyNumberFormat="1" applyFont="1" applyBorder="1" applyAlignment="1" applyProtection="1">
      <alignment horizontal="center" vertical="center" wrapText="1"/>
      <protection hidden="1"/>
    </xf>
    <xf numFmtId="0" fontId="15" fillId="0" borderId="9" xfId="0" applyFont="1" applyBorder="1" applyAlignment="1" applyProtection="1">
      <alignment horizontal="left" vertical="center"/>
      <protection hidden="1"/>
    </xf>
    <xf numFmtId="0" fontId="15" fillId="0" borderId="9" xfId="0" applyFont="1" applyBorder="1"/>
    <xf numFmtId="0" fontId="15" fillId="0" borderId="1" xfId="0" applyFont="1" applyBorder="1" applyAlignment="1">
      <alignment horizontal="left"/>
    </xf>
    <xf numFmtId="0" fontId="15" fillId="0" borderId="1" xfId="0" applyFont="1" applyBorder="1" applyAlignment="1">
      <alignment horizontal="left" wrapText="1"/>
    </xf>
    <xf numFmtId="0" fontId="15" fillId="3" borderId="9" xfId="0" applyFont="1" applyFill="1" applyBorder="1" applyAlignment="1">
      <alignment horizontal="center" vertical="center" wrapText="1"/>
    </xf>
    <xf numFmtId="0" fontId="16" fillId="0" borderId="1" xfId="0" applyFont="1" applyBorder="1"/>
    <xf numFmtId="0" fontId="15" fillId="0" borderId="1" xfId="0" applyFont="1" applyBorder="1" applyAlignment="1">
      <alignment wrapText="1"/>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5" xfId="0" applyFont="1" applyFill="1" applyBorder="1" applyAlignment="1">
      <alignment horizontal="center"/>
    </xf>
    <xf numFmtId="0" fontId="0" fillId="0" borderId="13" xfId="0"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cellXfs>
  <cellStyles count="1">
    <cellStyle name="Normal" xfId="0" builtinId="0"/>
  </cellStyles>
  <dxfs count="100">
    <dxf>
      <fill>
        <patternFill>
          <bgColor theme="0" tint="-0.34998626667073579"/>
        </patternFill>
      </fill>
    </dxf>
    <dxf>
      <fill>
        <patternFill>
          <bgColor rgb="FFC00000"/>
        </patternFill>
      </fill>
    </dxf>
    <dxf>
      <fill>
        <patternFill>
          <bgColor rgb="FF00B050"/>
        </patternFill>
      </fill>
    </dxf>
    <dxf>
      <fill>
        <patternFill>
          <bgColor rgb="FFC00000"/>
        </patternFill>
      </fill>
    </dxf>
    <dxf>
      <fill>
        <patternFill>
          <bgColor rgb="FFFFC000"/>
        </patternFill>
      </fill>
    </dxf>
    <dxf>
      <font>
        <b/>
        <i val="0"/>
      </font>
      <fill>
        <patternFill>
          <bgColor theme="7"/>
        </patternFill>
      </fill>
    </dxf>
    <dxf>
      <font>
        <b/>
        <i val="0"/>
        <color theme="0"/>
      </font>
      <fill>
        <patternFill>
          <bgColor rgb="FF00B050"/>
        </patternFill>
      </fill>
    </dxf>
    <dxf>
      <fill>
        <patternFill>
          <bgColor theme="5"/>
        </patternFill>
      </fill>
    </dxf>
    <dxf>
      <font>
        <color theme="0"/>
      </font>
      <fill>
        <patternFill>
          <bgColor rgb="FFC00000"/>
        </patternFill>
      </fill>
    </dxf>
    <dxf>
      <fill>
        <patternFill>
          <bgColor theme="0" tint="-0.34998626667073579"/>
        </patternFill>
      </fill>
    </dxf>
    <dxf>
      <fill>
        <patternFill>
          <bgColor rgb="FFC00000"/>
        </patternFill>
      </fill>
    </dxf>
    <dxf>
      <fill>
        <patternFill>
          <bgColor rgb="FF00B050"/>
        </patternFill>
      </fill>
    </dxf>
    <dxf>
      <fill>
        <patternFill>
          <bgColor rgb="FFC00000"/>
        </patternFill>
      </fill>
    </dxf>
    <dxf>
      <fill>
        <patternFill>
          <bgColor rgb="FFFFC000"/>
        </patternFill>
      </fill>
    </dxf>
    <dxf>
      <font>
        <b/>
        <i val="0"/>
      </font>
      <fill>
        <patternFill>
          <bgColor theme="7"/>
        </patternFill>
      </fill>
    </dxf>
    <dxf>
      <font>
        <b/>
        <i val="0"/>
        <color theme="0"/>
      </font>
      <fill>
        <patternFill>
          <bgColor rgb="FF00B050"/>
        </patternFill>
      </fill>
    </dxf>
    <dxf>
      <fill>
        <patternFill>
          <bgColor theme="5"/>
        </patternFill>
      </fill>
    </dxf>
    <dxf>
      <font>
        <color theme="0"/>
      </font>
      <fill>
        <patternFill>
          <bgColor rgb="FFC00000"/>
        </patternFill>
      </fill>
    </dxf>
    <dxf>
      <font>
        <b val="0"/>
        <i val="0"/>
        <strike val="0"/>
        <condense val="0"/>
        <extend val="0"/>
        <outline val="0"/>
        <shadow val="0"/>
        <u val="none"/>
        <vertAlign val="baseline"/>
        <sz val="11"/>
        <color theme="1"/>
        <name val="Trebuchet MS"/>
        <scheme val="none"/>
      </font>
    </dxf>
    <dxf>
      <font>
        <b val="0"/>
        <i val="0"/>
        <strike val="0"/>
        <condense val="0"/>
        <extend val="0"/>
        <outline val="0"/>
        <shadow val="0"/>
        <u val="none"/>
        <vertAlign val="baseline"/>
        <sz val="11"/>
        <color theme="1"/>
        <name val="Trebuchet MS"/>
        <scheme val="none"/>
      </font>
    </dxf>
    <dxf>
      <font>
        <b val="0"/>
        <i val="0"/>
        <strike val="0"/>
        <condense val="0"/>
        <extend val="0"/>
        <outline val="0"/>
        <shadow val="0"/>
        <u val="none"/>
        <vertAlign val="baseline"/>
        <sz val="11"/>
        <color theme="1"/>
        <name val="Trebuchet MS"/>
        <scheme val="none"/>
      </font>
    </dxf>
    <dxf>
      <font>
        <b val="0"/>
        <i val="0"/>
        <strike val="0"/>
        <condense val="0"/>
        <extend val="0"/>
        <outline val="0"/>
        <shadow val="0"/>
        <u val="none"/>
        <vertAlign val="baseline"/>
        <sz val="11"/>
        <color theme="1"/>
        <name val="Trebuchet MS"/>
        <scheme val="none"/>
      </font>
    </dxf>
    <dxf>
      <font>
        <b val="0"/>
        <i val="0"/>
        <strike val="0"/>
        <condense val="0"/>
        <extend val="0"/>
        <outline val="0"/>
        <shadow val="0"/>
        <u val="none"/>
        <vertAlign val="baseline"/>
        <sz val="11"/>
        <color theme="1"/>
        <name val="Trebuchet MS"/>
        <scheme val="none"/>
      </font>
    </dxf>
    <dxf>
      <font>
        <b val="0"/>
        <i val="0"/>
        <strike val="0"/>
        <condense val="0"/>
        <extend val="0"/>
        <outline val="0"/>
        <shadow val="0"/>
        <u val="none"/>
        <vertAlign val="baseline"/>
        <sz val="11"/>
        <color theme="1"/>
        <name val="Trebuchet MS"/>
        <scheme val="none"/>
      </font>
    </dxf>
    <dxf>
      <font>
        <b val="0"/>
        <i val="0"/>
        <strike val="0"/>
        <condense val="0"/>
        <extend val="0"/>
        <outline val="0"/>
        <shadow val="0"/>
        <u val="none"/>
        <vertAlign val="baseline"/>
        <sz val="11"/>
        <color theme="1"/>
        <name val="Trebuchet MS"/>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rebuchet MS"/>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rebuchet MS"/>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rebuchet MS"/>
        <scheme val="none"/>
      </font>
      <alignment horizontal="left" textRotation="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0"/>
        <name val="Trebuchet MS"/>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scheme val="none"/>
      </font>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Trebuchet MS"/>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rebuchet MS"/>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Trebuchet MS"/>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rebuchet MS"/>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rebuchet MS"/>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rebuchet MS"/>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rebuchet MS"/>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rebuchet MS"/>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1"/>
        <color theme="1"/>
        <name val="Trebuchet MS"/>
        <scheme val="none"/>
      </font>
    </dxf>
    <dxf>
      <border outline="0">
        <bottom style="thin">
          <color indexed="64"/>
        </bottom>
      </border>
    </dxf>
    <dxf>
      <font>
        <b val="0"/>
        <i val="0"/>
        <strike val="0"/>
        <condense val="0"/>
        <extend val="0"/>
        <outline val="0"/>
        <shadow val="0"/>
        <u val="none"/>
        <vertAlign val="baseline"/>
        <sz val="11"/>
        <color theme="0"/>
        <name val="Trebuchet MS"/>
        <scheme val="none"/>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rgb="FF00B050"/>
        </patternFill>
      </fill>
    </dxf>
    <dxf>
      <fill>
        <patternFill>
          <bgColor theme="9" tint="0.39994506668294322"/>
        </patternFill>
      </fill>
    </dxf>
    <dxf>
      <fill>
        <patternFill>
          <bgColor rgb="FFFFFF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0000"/>
        </patternFill>
      </fill>
    </dxf>
    <dxf>
      <fill>
        <patternFill>
          <bgColor theme="5"/>
        </patternFill>
      </fill>
    </dxf>
    <dxf>
      <fill>
        <patternFill>
          <bgColor rgb="FFFF0000"/>
        </patternFill>
      </fill>
    </dxf>
    <dxf>
      <fill>
        <patternFill>
          <bgColor rgb="FF00B050"/>
        </patternFill>
      </fill>
    </dxf>
    <dxf>
      <fill>
        <patternFill>
          <bgColor rgb="FFC00000"/>
        </patternFill>
      </fill>
    </dxf>
    <dxf>
      <fill>
        <patternFill>
          <bgColor theme="0" tint="-0.34998626667073579"/>
        </patternFill>
      </fill>
    </dxf>
    <dxf>
      <fill>
        <patternFill>
          <bgColor theme="7"/>
        </patternFill>
      </fill>
    </dxf>
    <dxf>
      <fill>
        <patternFill>
          <bgColor theme="9"/>
        </patternFill>
      </fill>
    </dxf>
    <dxf>
      <fill>
        <patternFill>
          <bgColor theme="7"/>
        </patternFill>
      </fill>
    </dxf>
    <dxf>
      <fill>
        <patternFill>
          <bgColor theme="9"/>
        </patternFill>
      </fill>
    </dxf>
    <dxf>
      <fill>
        <patternFill>
          <bgColor theme="5"/>
        </patternFill>
      </fill>
    </dxf>
    <dxf>
      <fill>
        <patternFill>
          <bgColor rgb="FFFFC000"/>
        </patternFill>
      </fill>
    </dxf>
    <dxf>
      <fill>
        <patternFill>
          <bgColor rgb="FFFFC000"/>
        </patternFill>
      </fill>
    </dxf>
    <dxf>
      <font>
        <b/>
        <i val="0"/>
      </font>
      <fill>
        <patternFill>
          <bgColor theme="7"/>
        </patternFill>
      </fill>
    </dxf>
    <dxf>
      <font>
        <b/>
        <i val="0"/>
        <color theme="0"/>
      </font>
      <fill>
        <patternFill>
          <bgColor rgb="FF00B050"/>
        </patternFill>
      </fill>
    </dxf>
    <dxf>
      <fill>
        <patternFill>
          <bgColor theme="5"/>
        </patternFill>
      </fill>
    </dxf>
    <dxf>
      <font>
        <b/>
        <i val="0"/>
        <color theme="0"/>
      </font>
      <fill>
        <patternFill>
          <bgColor rgb="FFC00000"/>
        </patternFill>
      </fill>
    </dxf>
    <dxf>
      <font>
        <color theme="0"/>
      </font>
      <fill>
        <patternFill>
          <bgColor rgb="FF00B050"/>
        </patternFill>
      </fill>
    </dxf>
    <dxf>
      <fill>
        <patternFill>
          <bgColor theme="9" tint="0.39994506668294322"/>
        </patternFill>
      </fill>
    </dxf>
    <dxf>
      <fill>
        <patternFill>
          <bgColor rgb="FFFFFF00"/>
        </patternFill>
      </fill>
    </dxf>
    <dxf>
      <fill>
        <patternFill>
          <bgColor rgb="FFFF0000"/>
        </patternFill>
      </fill>
    </dxf>
    <dxf>
      <fill>
        <patternFill>
          <bgColor theme="5"/>
        </patternFill>
      </fill>
    </dxf>
    <dxf>
      <fill>
        <patternFill>
          <bgColor rgb="FFFF0000"/>
        </patternFill>
      </fill>
    </dxf>
    <dxf>
      <fill>
        <patternFill>
          <bgColor rgb="FF00B050"/>
        </patternFill>
      </fill>
    </dxf>
    <dxf>
      <fill>
        <patternFill>
          <bgColor rgb="FFC00000"/>
        </patternFill>
      </fill>
    </dxf>
    <dxf>
      <fill>
        <patternFill>
          <bgColor theme="0" tint="-0.34998626667073579"/>
        </patternFill>
      </fill>
    </dxf>
    <dxf>
      <fill>
        <patternFill>
          <bgColor theme="7"/>
        </patternFill>
      </fill>
    </dxf>
    <dxf>
      <fill>
        <patternFill>
          <bgColor theme="9"/>
        </patternFill>
      </fill>
    </dxf>
    <dxf>
      <fill>
        <patternFill>
          <bgColor theme="7"/>
        </patternFill>
      </fill>
    </dxf>
    <dxf>
      <fill>
        <patternFill>
          <bgColor theme="9"/>
        </patternFill>
      </fill>
    </dxf>
    <dxf>
      <fill>
        <patternFill>
          <bgColor theme="5"/>
        </patternFill>
      </fill>
    </dxf>
    <dxf>
      <font>
        <color theme="0"/>
      </font>
      <fill>
        <patternFill>
          <bgColor rgb="FF00B050"/>
        </patternFill>
      </fill>
    </dxf>
    <dxf>
      <fill>
        <patternFill>
          <bgColor theme="9" tint="0.39994506668294322"/>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theme="7"/>
        </patternFill>
      </fill>
    </dxf>
    <dxf>
      <fill>
        <patternFill>
          <bgColor theme="9"/>
        </patternFill>
      </fill>
    </dxf>
    <dxf>
      <fill>
        <patternFill>
          <bgColor theme="5"/>
        </patternFill>
      </fill>
    </dxf>
    <dxf>
      <fill>
        <patternFill>
          <bgColor theme="7"/>
        </patternFill>
      </fill>
    </dxf>
    <dxf>
      <fill>
        <patternFill>
          <bgColor theme="9"/>
        </patternFill>
      </fill>
    </dxf>
    <dxf>
      <fill>
        <patternFill>
          <bgColor theme="5"/>
        </patternFill>
      </fill>
    </dxf>
    <dxf>
      <fill>
        <patternFill>
          <bgColor rgb="FFFF0000"/>
        </patternFill>
      </fill>
    </dxf>
    <dxf>
      <font>
        <color theme="0"/>
      </font>
      <fill>
        <patternFill>
          <bgColor rgb="FF00B050"/>
        </patternFill>
      </fill>
    </dxf>
    <dxf>
      <fill>
        <patternFill>
          <bgColor theme="9" tint="0.39994506668294322"/>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afrilandfirstbankcmr-my.sharepoint.com/Users/User/Downloads/AGBADO/2%20-%20Archives/OX/Back%20up/OXEA/CLIENTS/BGFI/10%20-%20Cartographies%20OXEA/2%20-%20BGFI%20Gabon/BGFI%20GABON_PPx_CONSOLIDATION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friland/D&#233;partement%20Risques/Essai/Direction%20du%20risque/cartographie%20du%20risque%20op&#233;rationnel/Copie%20de%20Processus%20environnemen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frilandfirstbankcmr-my.sharepoint.com/Users/gerard_ayimba/Downloads/AFB_PM05_DI_FICHIER_DE_SUIVI_DES_RECOMM_DFGB%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friland/D&#233;partement%20Risques/Essai/Direction%20du%20risque/cartographie%20du%20risque%20op&#233;rationnel/processus%20Marketing%20et%20communi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lidation PPx"/>
      <sheetName val="Risques Suppprimés"/>
      <sheetName val="#Echelles#"/>
      <sheetName val="#Listes#"/>
      <sheetName val="#Acteurs SGR#"/>
      <sheetName val="Répartition Famille-Px"/>
      <sheetName val="Gravité par processus"/>
      <sheetName val="Familles de risques par process"/>
      <sheetName val="Gravité par familles bâle II"/>
      <sheetName val="Gravité et degré de maitrise"/>
      <sheetName val="Heat Map"/>
      <sheetName val="Exposition aux risques"/>
      <sheetName val="DM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ques Génériques"/>
      <sheetName val="Liste des processus et activité"/>
      <sheetName val="évaluation des risques"/>
      <sheetName val="Direct"/>
      <sheetName val="Indirect"/>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AC FÉVRIER 2023, LA COMP"/>
      <sheetName val="CAC 2023"/>
      <sheetName val="RESOLUTIONS ET RECOMMANDATIONS"/>
      <sheetName val="COBAC, 01-11 JUIN 2021"/>
      <sheetName val="RECOS  2021"/>
      <sheetName val="RECOS  2022"/>
      <sheetName val="RECOS  2023"/>
      <sheetName val="TCD"/>
      <sheetName val="Parametres"/>
    </sheetNames>
    <sheetDataSet>
      <sheetData sheetId="0"/>
      <sheetData sheetId="1"/>
      <sheetData sheetId="2"/>
      <sheetData sheetId="3"/>
      <sheetData sheetId="4"/>
      <sheetData sheetId="5"/>
      <sheetData sheetId="6"/>
      <sheetData sheetId="7"/>
      <sheetData sheetId="8">
        <row r="2">
          <cell r="AA2" t="str">
            <v>PM_01_ELABORER_ET_PILOTER_LA_STRATEGIE</v>
          </cell>
        </row>
        <row r="3">
          <cell r="AA3" t="str">
            <v>PM_02_GERER_LES_RELATIONS_EXTERIEURES</v>
          </cell>
        </row>
        <row r="4">
          <cell r="AA4" t="str">
            <v>PM_03_GERER_LE_CONTRÔLE_PERMANENT</v>
          </cell>
        </row>
        <row r="5">
          <cell r="AA5" t="str">
            <v>PM_04_GERER_LA_CONFORMITE</v>
          </cell>
        </row>
        <row r="6">
          <cell r="AA6" t="str">
            <v>PM_05_GERER_LES_RISQUES</v>
          </cell>
        </row>
        <row r="7">
          <cell r="AA7" t="str">
            <v>PM_06_GERER_L_AUDIT_INTERNE_ET_L_INSPECTION</v>
          </cell>
        </row>
        <row r="8">
          <cell r="AA8" t="str">
            <v>PR_01_CONCEVOIR_LES_PRODUITS_ET_SERVICES</v>
          </cell>
        </row>
        <row r="9">
          <cell r="AA9" t="str">
            <v>PR_02_DEVELOPPER_LE_PORTEFEUILLE_CLIENT</v>
          </cell>
        </row>
        <row r="10">
          <cell r="AA10" t="str">
            <v>PR_03_VENDRE_LES_PRODUITS_ET_SERVICES_AUX_CLIENTS</v>
          </cell>
        </row>
        <row r="11">
          <cell r="AA11" t="str">
            <v>PR_04_ASSURER_LE_SERVICE_APRES_VENTES</v>
          </cell>
        </row>
        <row r="12">
          <cell r="AA12" t="str">
            <v>PS_01_GERER_LES_RESSOURCES_HUMAINES</v>
          </cell>
        </row>
        <row r="13">
          <cell r="AA13" t="str">
            <v>PS_02_GERER_LES_RESSOURCES_FINANCIERES</v>
          </cell>
        </row>
        <row r="14">
          <cell r="AA14" t="str">
            <v>PS_03_GERER_LES_SYSTEMES_D_INFORMATION</v>
          </cell>
        </row>
        <row r="15">
          <cell r="AA15" t="str">
            <v>PS_04_GERER_LE_PATRIMOINE_LA_LOGISTIQUE_ET_LES_ARCHIVES</v>
          </cell>
        </row>
        <row r="16">
          <cell r="AA16" t="str">
            <v>PS_05_GERER_LE_SUPPORT_JURIDIQUE_ET_LE_RECOUVREMENT</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ques génériques"/>
      <sheetName val="listes processus et activités"/>
      <sheetName val="évaluation des risques"/>
      <sheetName val="Business Intelligence"/>
      <sheetName val="Communication"/>
      <sheetName val="Produits EIBA"/>
      <sheetName val="Produits PEBAD"/>
      <sheetName val="Produits PLV"/>
      <sheetName val="Transferts M et Serv 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ables/table1.xml><?xml version="1.0" encoding="utf-8"?>
<table xmlns="http://schemas.openxmlformats.org/spreadsheetml/2006/main" id="1" name="Tableau3" displayName="Tableau3" ref="A11:V13" totalsRowShown="0" headerRowDxfId="43" dataDxfId="41" headerRowBorderDxfId="42" tableBorderDxfId="40">
  <autoFilter ref="A11:V13"/>
  <tableColumns count="22">
    <tableColumn id="1" name="N" dataDxfId="39"/>
    <tableColumn id="2" name="ANNEE" dataDxfId="38"/>
    <tableColumn id="3" name="TYPE DE MISSION " dataDxfId="37"/>
    <tableColumn id="4" name="THEME/TITRE  DE LA MISSION" dataDxfId="36"/>
    <tableColumn id="5" name="UNITES" dataDxfId="35"/>
    <tableColumn id="6" name="RESEAU" dataDxfId="34"/>
    <tableColumn id="7" name="UD=UC" dataDxfId="33"/>
    <tableColumn id="8" name="SYNTHESE DU CONSTAT/ECART" dataDxfId="32"/>
    <tableColumn id="9" name="CAUSES PROFONDE" dataDxfId="31"/>
    <tableColumn id="10" name="CONSEQUENCES" dataDxfId="30"/>
    <tableColumn id="11" name="NIVEAU DE RISQUE" dataDxfId="29"/>
    <tableColumn id="12" name="ACTIONS CORRECTIVES /RECOMMANDATIONS" dataDxfId="28"/>
    <tableColumn id="13" name="RESPONSABLE DE LA MEO" dataDxfId="27"/>
    <tableColumn id="16" name="UNITE RESPONSABLE DE MISE EN OEUVRE" dataDxfId="26"/>
    <tableColumn id="14" name="DÉLAI INITIAL" dataDxfId="25"/>
    <tableColumn id="15" name="CRITERES D'EFFICACITE" dataDxfId="24"/>
    <tableColumn id="17" name="STATUT" dataDxfId="23"/>
    <tableColumn id="18" name="OBSERVATIONS" dataDxfId="22"/>
    <tableColumn id="19" name="NOUVEAU DELAI PROPOSE" dataDxfId="21"/>
    <tableColumn id="20" name="Colonne1" dataDxfId="20"/>
    <tableColumn id="21" name="Decision_REGROUPEMENT_SMART" dataDxfId="19"/>
    <tableColumn id="22" name="Colonne2" dataDxfId="18"/>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tabColor rgb="FF0070C0"/>
  </sheetPr>
  <dimension ref="A1:V17"/>
  <sheetViews>
    <sheetView showGridLines="0" zoomScale="40" zoomScaleNormal="40" workbookViewId="0">
      <pane ySplit="11" topLeftCell="A17" activePane="bottomLeft" state="frozen"/>
      <selection activeCell="E35" sqref="E35"/>
      <selection pane="bottomLeft" activeCell="B33" sqref="B33"/>
    </sheetView>
  </sheetViews>
  <sheetFormatPr baseColWidth="10" defaultColWidth="41.88671875" defaultRowHeight="14.4"/>
  <cols>
    <col min="1" max="1" width="10" style="38" customWidth="1"/>
    <col min="2" max="2" width="15.6640625" style="38" customWidth="1"/>
    <col min="3" max="3" width="24.109375" style="39" customWidth="1"/>
    <col min="4" max="4" width="43.109375" style="38" customWidth="1"/>
    <col min="5" max="5" width="23.88671875" style="38" customWidth="1"/>
    <col min="6" max="6" width="19.6640625" style="38" customWidth="1"/>
    <col min="7" max="7" width="22.33203125" style="40" customWidth="1"/>
    <col min="8" max="8" width="59" style="38" customWidth="1"/>
    <col min="9" max="9" width="32.88671875" style="38" customWidth="1"/>
    <col min="10" max="10" width="41.5546875" style="38" customWidth="1"/>
    <col min="11" max="11" width="18.33203125" style="41" customWidth="1"/>
    <col min="12" max="12" width="43.6640625" style="42" customWidth="1"/>
    <col min="13" max="13" width="28.33203125" style="43" customWidth="1"/>
    <col min="14" max="14" width="22" style="38" customWidth="1"/>
    <col min="15" max="15" width="19.6640625" style="38" customWidth="1"/>
    <col min="16" max="16" width="36.5546875" style="38" customWidth="1"/>
    <col min="17" max="17" width="23.5546875" style="38" customWidth="1"/>
    <col min="18" max="19" width="41.88671875" style="38"/>
    <col min="20" max="22" width="0" style="38" hidden="1" customWidth="1"/>
    <col min="23" max="16384" width="41.88671875" style="38"/>
  </cols>
  <sheetData>
    <row r="1" spans="1:22" ht="15" thickBot="1"/>
    <row r="2" spans="1:22" ht="16.2" thickBot="1">
      <c r="D2" s="88" t="s">
        <v>85</v>
      </c>
      <c r="E2" s="89"/>
      <c r="F2" s="90"/>
      <c r="G2" s="44"/>
    </row>
    <row r="3" spans="1:22">
      <c r="D3"/>
      <c r="E3"/>
      <c r="F3"/>
      <c r="G3" s="44"/>
    </row>
    <row r="4" spans="1:22" ht="15.6" thickBot="1">
      <c r="D4"/>
      <c r="E4"/>
      <c r="F4"/>
      <c r="G4" s="44"/>
      <c r="L4" s="45"/>
      <c r="M4" s="43" t="s">
        <v>8</v>
      </c>
    </row>
    <row r="5" spans="1:22" ht="25.2" thickBot="1">
      <c r="D5" s="46" t="s">
        <v>5</v>
      </c>
      <c r="E5" s="47" t="s">
        <v>6</v>
      </c>
      <c r="F5" s="47" t="s">
        <v>7</v>
      </c>
      <c r="G5" s="48"/>
      <c r="L5" s="49"/>
      <c r="M5" s="43" t="s">
        <v>9</v>
      </c>
    </row>
    <row r="6" spans="1:22" ht="25.2" thickBot="1">
      <c r="D6" s="50" t="s">
        <v>8</v>
      </c>
      <c r="E6" s="51">
        <f>COUNTIF(Q12:Q15,D6)</f>
        <v>2</v>
      </c>
      <c r="F6" s="52">
        <f>+E6/$E$9</f>
        <v>1</v>
      </c>
      <c r="G6" s="44"/>
      <c r="L6" s="53"/>
      <c r="M6" s="43" t="s">
        <v>10</v>
      </c>
    </row>
    <row r="7" spans="1:22" ht="25.2" thickBot="1">
      <c r="D7" s="54" t="s">
        <v>9</v>
      </c>
      <c r="E7" s="54">
        <f>COUNTIF(Q12:Q15,D7)</f>
        <v>1</v>
      </c>
      <c r="F7" s="55">
        <f>+E7/$E$9</f>
        <v>0.5</v>
      </c>
      <c r="G7" s="91"/>
    </row>
    <row r="8" spans="1:22" ht="25.2" thickBot="1">
      <c r="D8" s="56" t="s">
        <v>10</v>
      </c>
      <c r="E8" s="56">
        <f>COUNTIF(Q12:Q15,D8)</f>
        <v>0</v>
      </c>
      <c r="F8" s="57">
        <f>+E8/$E$9</f>
        <v>0</v>
      </c>
      <c r="G8" s="91"/>
    </row>
    <row r="9" spans="1:22" ht="25.2" thickBot="1">
      <c r="D9" s="58" t="s">
        <v>11</v>
      </c>
      <c r="E9" s="59">
        <f>COUNTA(Tableau3[ANNEE])</f>
        <v>2</v>
      </c>
      <c r="F9" s="60">
        <f>+E9/$E$9</f>
        <v>1</v>
      </c>
      <c r="G9" s="61"/>
      <c r="K9" s="62"/>
    </row>
    <row r="10" spans="1:22">
      <c r="K10" s="62"/>
    </row>
    <row r="11" spans="1:22" s="67" customFormat="1" ht="30">
      <c r="A11" s="63" t="s">
        <v>86</v>
      </c>
      <c r="B11" s="63" t="s">
        <v>22</v>
      </c>
      <c r="C11" s="63" t="s">
        <v>87</v>
      </c>
      <c r="D11" s="63" t="s">
        <v>88</v>
      </c>
      <c r="E11" s="64" t="s">
        <v>89</v>
      </c>
      <c r="F11" s="64" t="s">
        <v>90</v>
      </c>
      <c r="G11" s="64" t="s">
        <v>91</v>
      </c>
      <c r="H11" s="63" t="s">
        <v>92</v>
      </c>
      <c r="I11" s="63" t="s">
        <v>93</v>
      </c>
      <c r="J11" s="63" t="s">
        <v>94</v>
      </c>
      <c r="K11" s="63" t="s">
        <v>95</v>
      </c>
      <c r="L11" s="63" t="s">
        <v>96</v>
      </c>
      <c r="M11" s="63" t="s">
        <v>97</v>
      </c>
      <c r="N11" s="63" t="s">
        <v>98</v>
      </c>
      <c r="O11" s="63" t="s">
        <v>99</v>
      </c>
      <c r="P11" s="65" t="s">
        <v>100</v>
      </c>
      <c r="Q11" s="63" t="s">
        <v>101</v>
      </c>
      <c r="R11" s="63" t="s">
        <v>102</v>
      </c>
      <c r="S11" s="63" t="s">
        <v>27</v>
      </c>
      <c r="T11" s="66" t="s">
        <v>103</v>
      </c>
      <c r="U11" s="66" t="s">
        <v>104</v>
      </c>
      <c r="V11" s="66" t="s">
        <v>105</v>
      </c>
    </row>
    <row r="12" spans="1:22" s="40" customFormat="1" ht="159.75" customHeight="1">
      <c r="A12" s="38"/>
      <c r="B12" s="68">
        <v>2025</v>
      </c>
      <c r="C12" s="68" t="s">
        <v>106</v>
      </c>
      <c r="D12" s="69" t="s">
        <v>107</v>
      </c>
      <c r="E12" s="68"/>
      <c r="F12" s="68" t="s">
        <v>108</v>
      </c>
      <c r="G12" s="68" t="s">
        <v>109</v>
      </c>
      <c r="H12" s="70" t="s">
        <v>110</v>
      </c>
      <c r="I12" s="71" t="s">
        <v>111</v>
      </c>
      <c r="J12" s="71" t="s">
        <v>112</v>
      </c>
      <c r="K12" s="68" t="s">
        <v>113</v>
      </c>
      <c r="L12" s="71" t="s">
        <v>114</v>
      </c>
      <c r="M12" s="68" t="s">
        <v>115</v>
      </c>
      <c r="N12" s="72" t="s">
        <v>116</v>
      </c>
      <c r="O12" s="73">
        <v>46022</v>
      </c>
      <c r="P12" s="74" t="s">
        <v>117</v>
      </c>
      <c r="Q12" s="71" t="s">
        <v>8</v>
      </c>
      <c r="R12" s="75"/>
      <c r="S12" s="75"/>
      <c r="T12" s="37"/>
      <c r="U12" s="37" t="e">
        <v>#N/A</v>
      </c>
      <c r="V12" s="38" t="s">
        <v>118</v>
      </c>
    </row>
    <row r="13" spans="1:22" s="40" customFormat="1" ht="115.2">
      <c r="A13" s="38"/>
      <c r="B13" s="74">
        <v>2025</v>
      </c>
      <c r="C13" s="74" t="s">
        <v>106</v>
      </c>
      <c r="D13" s="76" t="s">
        <v>119</v>
      </c>
      <c r="E13" s="68" t="s">
        <v>120</v>
      </c>
      <c r="F13" s="68" t="s">
        <v>121</v>
      </c>
      <c r="G13" s="74" t="s">
        <v>122</v>
      </c>
      <c r="H13" s="77" t="s">
        <v>123</v>
      </c>
      <c r="I13" s="78" t="s">
        <v>124</v>
      </c>
      <c r="J13" s="78" t="s">
        <v>125</v>
      </c>
      <c r="K13" s="74" t="s">
        <v>126</v>
      </c>
      <c r="L13" s="78" t="s">
        <v>127</v>
      </c>
      <c r="M13" s="74" t="s">
        <v>115</v>
      </c>
      <c r="N13" s="79" t="s">
        <v>122</v>
      </c>
      <c r="O13" s="80">
        <v>46022</v>
      </c>
      <c r="P13" s="81" t="s">
        <v>128</v>
      </c>
      <c r="Q13" s="71" t="s">
        <v>8</v>
      </c>
      <c r="R13" s="82"/>
      <c r="S13" s="82"/>
      <c r="T13" s="37"/>
      <c r="U13" s="37" t="e">
        <v>#N/A</v>
      </c>
      <c r="V13" s="38" t="s">
        <v>129</v>
      </c>
    </row>
    <row r="14" spans="1:22" ht="129.6">
      <c r="A14" s="38">
        <v>2025</v>
      </c>
      <c r="B14" s="74" t="s">
        <v>106</v>
      </c>
      <c r="C14" s="74" t="s">
        <v>107</v>
      </c>
      <c r="D14" s="76"/>
      <c r="E14" s="68"/>
      <c r="F14" s="68"/>
      <c r="G14" s="74"/>
      <c r="H14" s="77" t="s">
        <v>110</v>
      </c>
      <c r="I14" s="78" t="s">
        <v>111</v>
      </c>
      <c r="J14" s="78" t="s">
        <v>112</v>
      </c>
      <c r="K14" s="74" t="s">
        <v>113</v>
      </c>
      <c r="L14" s="78" t="s">
        <v>114</v>
      </c>
      <c r="M14" s="74" t="s">
        <v>115</v>
      </c>
      <c r="N14" s="79"/>
      <c r="O14" s="80">
        <v>46022</v>
      </c>
      <c r="P14" s="81" t="s">
        <v>117</v>
      </c>
      <c r="Q14" s="71" t="s">
        <v>9</v>
      </c>
      <c r="R14" s="82"/>
      <c r="S14" s="82"/>
      <c r="T14" s="37"/>
      <c r="U14" s="37"/>
    </row>
    <row r="15" spans="1:22">
      <c r="A15" s="83"/>
      <c r="B15" s="83"/>
      <c r="C15" s="84"/>
      <c r="D15" s="83"/>
      <c r="E15" s="83"/>
      <c r="F15" s="83"/>
      <c r="G15" s="85"/>
      <c r="H15" s="83"/>
      <c r="I15" s="83"/>
      <c r="J15" s="83"/>
      <c r="K15" s="72"/>
      <c r="L15" s="86"/>
      <c r="M15" s="83"/>
      <c r="N15" s="75"/>
      <c r="O15" s="75"/>
      <c r="P15" s="75"/>
      <c r="Q15" s="75"/>
      <c r="R15" s="75"/>
      <c r="S15" s="75"/>
    </row>
    <row r="16" spans="1:22">
      <c r="A16" s="75"/>
      <c r="B16" s="75"/>
      <c r="C16" s="87"/>
      <c r="D16" s="75"/>
      <c r="E16" s="75"/>
      <c r="F16" s="75"/>
      <c r="G16" s="75"/>
      <c r="H16" s="75"/>
      <c r="I16" s="75"/>
      <c r="J16" s="75"/>
      <c r="K16" s="75"/>
      <c r="L16" s="86"/>
      <c r="M16" s="83"/>
      <c r="N16" s="75"/>
      <c r="O16" s="75"/>
      <c r="P16" s="75"/>
      <c r="Q16" s="75"/>
      <c r="R16" s="75"/>
      <c r="S16" s="75"/>
    </row>
    <row r="17" spans="1:19">
      <c r="A17" s="75"/>
      <c r="B17" s="75"/>
      <c r="C17" s="87"/>
      <c r="D17" s="75"/>
      <c r="E17" s="75"/>
      <c r="F17" s="75"/>
      <c r="G17" s="75"/>
      <c r="H17" s="75"/>
      <c r="I17" s="75"/>
      <c r="J17" s="75"/>
      <c r="K17" s="75"/>
      <c r="L17" s="86"/>
      <c r="M17" s="83"/>
      <c r="N17" s="75"/>
      <c r="O17" s="75"/>
      <c r="P17" s="75"/>
      <c r="Q17" s="75"/>
      <c r="R17" s="75"/>
      <c r="S17" s="75"/>
    </row>
  </sheetData>
  <mergeCells count="2">
    <mergeCell ref="D2:F2"/>
    <mergeCell ref="G7:G8"/>
  </mergeCells>
  <conditionalFormatting sqref="G15">
    <cfRule type="cellIs" dxfId="99" priority="44" operator="equal">
      <formula>"Moyen"</formula>
    </cfRule>
    <cfRule type="cellIs" dxfId="98" priority="45" operator="equal">
      <formula>"Faible"</formula>
    </cfRule>
    <cfRule type="cellIs" dxfId="97" priority="46" operator="equal">
      <formula>"Très faible"</formula>
    </cfRule>
  </conditionalFormatting>
  <conditionalFormatting sqref="L4">
    <cfRule type="containsText" dxfId="96" priority="47" operator="containsText" text="en retard">
      <formula>NOT(ISERROR(SEARCH("en retard",L4)))</formula>
    </cfRule>
    <cfRule type="containsText" dxfId="95" priority="48" operator="containsText" text="A démarrer">
      <formula>NOT(ISERROR(SEARCH("A démarrer",L4)))</formula>
    </cfRule>
    <cfRule type="containsText" dxfId="94" priority="49" operator="containsText" text="finalisé">
      <formula>NOT(ISERROR(SEARCH("finalisé",L4)))</formula>
    </cfRule>
    <cfRule type="containsText" dxfId="93" priority="50" operator="containsText" text="en cours">
      <formula>NOT(ISERROR(SEARCH("en cours",L4)))</formula>
    </cfRule>
  </conditionalFormatting>
  <conditionalFormatting sqref="L6">
    <cfRule type="containsText" dxfId="92" priority="52" operator="containsText" text="A démarrer">
      <formula>NOT(ISERROR(SEARCH("A démarrer",L6)))</formula>
    </cfRule>
    <cfRule type="containsText" dxfId="91" priority="53" operator="containsText" text="finalisé">
      <formula>NOT(ISERROR(SEARCH("finalisé",L6)))</formula>
    </cfRule>
    <cfRule type="containsText" dxfId="90" priority="54" operator="containsText" text="en cours">
      <formula>NOT(ISERROR(SEARCH("en cours",L6)))</formula>
    </cfRule>
  </conditionalFormatting>
  <conditionalFormatting sqref="L6">
    <cfRule type="containsText" dxfId="89" priority="51" operator="containsText" text="en retard">
      <formula>NOT(ISERROR(SEARCH("en retard",L6)))</formula>
    </cfRule>
  </conditionalFormatting>
  <conditionalFormatting sqref="K13">
    <cfRule type="cellIs" dxfId="88" priority="25" operator="equal">
      <formula>"Elevé"</formula>
    </cfRule>
    <cfRule type="cellIs" dxfId="87" priority="26" operator="equal">
      <formula>Elevé</formula>
    </cfRule>
  </conditionalFormatting>
  <conditionalFormatting sqref="K12">
    <cfRule type="cellIs" dxfId="86" priority="37" operator="equal">
      <formula>"Moyen"</formula>
    </cfRule>
    <cfRule type="cellIs" dxfId="85" priority="38" operator="equal">
      <formula>"Faible"</formula>
    </cfRule>
    <cfRule type="cellIs" dxfId="84" priority="39" operator="equal">
      <formula>"Très faible"</formula>
    </cfRule>
  </conditionalFormatting>
  <conditionalFormatting sqref="Q12:Q13">
    <cfRule type="containsText" dxfId="83" priority="41" operator="containsText" text="A démarrer">
      <formula>NOT(ISERROR(SEARCH("A démarrer",Q12)))</formula>
    </cfRule>
    <cfRule type="containsText" dxfId="82" priority="42" operator="containsText" text="finalisé">
      <formula>NOT(ISERROR(SEARCH("finalisé",Q12)))</formula>
    </cfRule>
    <cfRule type="containsText" dxfId="81" priority="43" operator="containsText" text="en cours">
      <formula>NOT(ISERROR(SEARCH("en cours",Q12)))</formula>
    </cfRule>
  </conditionalFormatting>
  <conditionalFormatting sqref="Q12:Q13">
    <cfRule type="containsText" dxfId="80" priority="35" operator="containsText" text="finalisé">
      <formula>NOT(ISERROR(SEARCH("finalisé",Q12)))</formula>
    </cfRule>
    <cfRule type="containsText" dxfId="79" priority="36" operator="containsText" text="en cours">
      <formula>NOT(ISERROR(SEARCH("en cours",Q12)))</formula>
    </cfRule>
  </conditionalFormatting>
  <conditionalFormatting sqref="Q12:Q13">
    <cfRule type="containsText" dxfId="78" priority="30" operator="containsText" text="NA">
      <formula>NOT(ISERROR(SEARCH("NA",Q12)))</formula>
    </cfRule>
    <cfRule type="containsText" dxfId="77" priority="31" operator="containsText" text="Non Exécutée">
      <formula>NOT(ISERROR(SEARCH("Non Exécutée",Q12)))</formula>
    </cfRule>
    <cfRule type="containsText" dxfId="76" priority="32" operator="containsText" text="Exécutée">
      <formula>NOT(ISERROR(SEARCH("Exécutée",Q12)))</formula>
    </cfRule>
    <cfRule type="containsText" dxfId="75" priority="33" operator="containsText" text="en retard">
      <formula>NOT(ISERROR(SEARCH("en retard",Q12)))</formula>
    </cfRule>
    <cfRule type="containsText" dxfId="74" priority="34" operator="containsText" text="A démarrer">
      <formula>NOT(ISERROR(SEARCH("A démarrer",Q12)))</formula>
    </cfRule>
  </conditionalFormatting>
  <conditionalFormatting sqref="Q12:Q13">
    <cfRule type="containsText" dxfId="73" priority="40" operator="containsText" text="en retard">
      <formula>NOT(ISERROR(SEARCH("en retard",Q12)))</formula>
    </cfRule>
  </conditionalFormatting>
  <conditionalFormatting sqref="K13">
    <cfRule type="cellIs" dxfId="72" priority="27" operator="equal">
      <formula>"Moyen"</formula>
    </cfRule>
    <cfRule type="cellIs" dxfId="71" priority="28" operator="equal">
      <formula>"Faible"</formula>
    </cfRule>
    <cfRule type="cellIs" dxfId="70" priority="29" operator="equal">
      <formula>"Très faible"</formula>
    </cfRule>
  </conditionalFormatting>
  <conditionalFormatting sqref="Q11">
    <cfRule type="containsText" dxfId="69" priority="21" operator="containsText" text="Non Exécutée">
      <formula>NOT(ISERROR(SEARCH("Non Exécutée",Q11)))</formula>
    </cfRule>
    <cfRule type="containsText" dxfId="68" priority="22" operator="containsText" text="A démarrer">
      <formula>NOT(ISERROR(SEARCH("A démarrer",Q11)))</formula>
    </cfRule>
    <cfRule type="containsText" dxfId="67" priority="23" operator="containsText" text="Exécutée">
      <formula>NOT(ISERROR(SEARCH("Exécutée",Q11)))</formula>
    </cfRule>
    <cfRule type="containsText" dxfId="66" priority="24" operator="containsText" text="En cours">
      <formula>NOT(ISERROR(SEARCH("En cours",Q11)))</formula>
    </cfRule>
  </conditionalFormatting>
  <conditionalFormatting sqref="K14">
    <cfRule type="cellIs" dxfId="65" priority="1" operator="equal">
      <formula>"Elevé"</formula>
    </cfRule>
    <cfRule type="cellIs" dxfId="64" priority="2" operator="equal">
      <formula>Elevé</formula>
    </cfRule>
  </conditionalFormatting>
  <conditionalFormatting sqref="Q14">
    <cfRule type="containsText" dxfId="63" priority="14" operator="containsText" text="A démarrer">
      <formula>NOT(ISERROR(SEARCH("A démarrer",Q14)))</formula>
    </cfRule>
    <cfRule type="containsText" dxfId="62" priority="15" operator="containsText" text="finalisé">
      <formula>NOT(ISERROR(SEARCH("finalisé",Q14)))</formula>
    </cfRule>
    <cfRule type="containsText" dxfId="61" priority="16" operator="containsText" text="en cours">
      <formula>NOT(ISERROR(SEARCH("en cours",Q14)))</formula>
    </cfRule>
  </conditionalFormatting>
  <conditionalFormatting sqref="Q14">
    <cfRule type="containsText" dxfId="60" priority="11" operator="containsText" text="finalisé">
      <formula>NOT(ISERROR(SEARCH("finalisé",Q14)))</formula>
    </cfRule>
    <cfRule type="containsText" dxfId="59" priority="12" operator="containsText" text="en cours">
      <formula>NOT(ISERROR(SEARCH("en cours",Q14)))</formula>
    </cfRule>
  </conditionalFormatting>
  <conditionalFormatting sqref="Q14">
    <cfRule type="containsText" dxfId="58" priority="6" operator="containsText" text="NA">
      <formula>NOT(ISERROR(SEARCH("NA",Q14)))</formula>
    </cfRule>
    <cfRule type="containsText" dxfId="57" priority="7" operator="containsText" text="Non Exécutée">
      <formula>NOT(ISERROR(SEARCH("Non Exécutée",Q14)))</formula>
    </cfRule>
    <cfRule type="containsText" dxfId="56" priority="8" operator="containsText" text="Exécutée">
      <formula>NOT(ISERROR(SEARCH("Exécutée",Q14)))</formula>
    </cfRule>
    <cfRule type="containsText" dxfId="55" priority="9" operator="containsText" text="en retard">
      <formula>NOT(ISERROR(SEARCH("en retard",Q14)))</formula>
    </cfRule>
    <cfRule type="containsText" dxfId="54" priority="10" operator="containsText" text="A démarrer">
      <formula>NOT(ISERROR(SEARCH("A démarrer",Q14)))</formula>
    </cfRule>
  </conditionalFormatting>
  <conditionalFormatting sqref="Q14">
    <cfRule type="containsText" dxfId="53" priority="13" operator="containsText" text="en retard">
      <formula>NOT(ISERROR(SEARCH("en retard",Q14)))</formula>
    </cfRule>
  </conditionalFormatting>
  <conditionalFormatting sqref="V14">
    <cfRule type="containsText" dxfId="52" priority="17" operator="containsText" text="C">
      <formula>NOT(ISERROR(SEARCH("C",V14)))</formula>
    </cfRule>
    <cfRule type="containsText" dxfId="51" priority="18" operator="containsText" text="B">
      <formula>NOT(ISERROR(SEARCH("B",V14)))</formula>
    </cfRule>
    <cfRule type="containsText" dxfId="50" priority="19" operator="containsText" text="A">
      <formula>NOT(ISERROR(SEARCH("A",V14)))</formula>
    </cfRule>
    <cfRule type="colorScale" priority="20">
      <colorScale>
        <cfvo type="min"/>
        <cfvo type="percentile" val="50"/>
        <cfvo type="max"/>
        <color rgb="FFF8696B"/>
        <color rgb="FFFFEB84"/>
        <color rgb="FF63BE7B"/>
      </colorScale>
    </cfRule>
  </conditionalFormatting>
  <conditionalFormatting sqref="K14">
    <cfRule type="cellIs" dxfId="49" priority="3" operator="equal">
      <formula>"Moyen"</formula>
    </cfRule>
    <cfRule type="cellIs" dxfId="48" priority="4" operator="equal">
      <formula>"Faible"</formula>
    </cfRule>
    <cfRule type="cellIs" dxfId="47" priority="5" operator="equal">
      <formula>"Très faible"</formula>
    </cfRule>
  </conditionalFormatting>
  <conditionalFormatting sqref="V12:V13">
    <cfRule type="containsText" dxfId="46" priority="55" operator="containsText" text="C">
      <formula>NOT(ISERROR(SEARCH("C",V12)))</formula>
    </cfRule>
    <cfRule type="containsText" dxfId="45" priority="56" operator="containsText" text="B">
      <formula>NOT(ISERROR(SEARCH("B",V12)))</formula>
    </cfRule>
    <cfRule type="containsText" dxfId="44" priority="57" operator="containsText" text="A">
      <formula>NOT(ISERROR(SEARCH("A",V12)))</formula>
    </cfRule>
    <cfRule type="colorScale" priority="58">
      <colorScale>
        <cfvo type="min"/>
        <cfvo type="percentile" val="50"/>
        <cfvo type="max"/>
        <color rgb="FFF8696B"/>
        <color rgb="FFFFEB84"/>
        <color rgb="FF63BE7B"/>
      </colorScale>
    </cfRule>
  </conditionalFormatting>
  <dataValidations count="2">
    <dataValidation type="list" allowBlank="1" showInputMessage="1" showErrorMessage="1" sqref="Q14">
      <formula1>$M$4:$M$7</formula1>
    </dataValidation>
    <dataValidation type="list" allowBlank="1" showInputMessage="1" showErrorMessage="1" sqref="Q12:Q13">
      <formula1>$D$6:$D$8</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tabColor rgb="FFFF0000"/>
  </sheetPr>
  <dimension ref="A1:R30"/>
  <sheetViews>
    <sheetView tabSelected="1" zoomScale="55" zoomScaleNormal="55" workbookViewId="0">
      <selection activeCell="E35" sqref="E35"/>
    </sheetView>
  </sheetViews>
  <sheetFormatPr baseColWidth="10" defaultColWidth="11.44140625" defaultRowHeight="14.4"/>
  <cols>
    <col min="1" max="1" width="8.44140625" style="3" customWidth="1"/>
    <col min="2" max="2" width="25.6640625" style="1" customWidth="1"/>
    <col min="3" max="3" width="13.5546875" style="1" customWidth="1"/>
    <col min="4" max="4" width="44.6640625" style="1" customWidth="1"/>
    <col min="5" max="5" width="50.88671875" customWidth="1"/>
    <col min="6" max="6" width="44.44140625" customWidth="1"/>
    <col min="7" max="7" width="45.44140625" customWidth="1"/>
    <col min="8" max="8" width="32.88671875" customWidth="1"/>
    <col min="9" max="10" width="15.33203125" customWidth="1"/>
    <col min="11" max="11" width="22.88671875" style="1" customWidth="1"/>
    <col min="12" max="12" width="10.6640625" style="1" customWidth="1"/>
    <col min="13" max="13" width="21.88671875" customWidth="1"/>
    <col min="14" max="14" width="14.6640625" customWidth="1"/>
    <col min="15" max="15" width="43.44140625" style="1" customWidth="1"/>
    <col min="16" max="16" width="18.88671875" customWidth="1"/>
    <col min="17" max="17" width="20.44140625" customWidth="1"/>
    <col min="18" max="18" width="22.33203125" customWidth="1"/>
  </cols>
  <sheetData>
    <row r="1" spans="1:18" ht="15" thickBot="1">
      <c r="A1" s="2" t="s">
        <v>3</v>
      </c>
    </row>
    <row r="2" spans="1:18" ht="15.75" customHeight="1" thickTop="1">
      <c r="E2" s="92" t="s">
        <v>4</v>
      </c>
      <c r="F2" s="92"/>
      <c r="G2" s="92"/>
      <c r="H2" s="92"/>
      <c r="I2" s="92"/>
      <c r="J2" s="92"/>
      <c r="K2" s="92"/>
      <c r="L2" s="92"/>
    </row>
    <row r="3" spans="1:18" ht="15" customHeight="1">
      <c r="E3" s="93"/>
      <c r="F3" s="93"/>
      <c r="G3" s="93"/>
      <c r="H3" s="93"/>
      <c r="I3" s="93"/>
      <c r="J3" s="93"/>
      <c r="K3" s="93"/>
      <c r="L3" s="93"/>
    </row>
    <row r="4" spans="1:18" s="6" customFormat="1" ht="18" thickBot="1">
      <c r="A4" s="4"/>
      <c r="B4" s="5"/>
      <c r="C4" s="5"/>
      <c r="D4" s="5"/>
      <c r="H4" s="7"/>
      <c r="K4" s="8"/>
      <c r="L4" s="8"/>
      <c r="O4" s="8"/>
    </row>
    <row r="5" spans="1:18" s="6" customFormat="1" ht="39" customHeight="1" thickBot="1">
      <c r="A5" s="4"/>
      <c r="B5" s="5"/>
      <c r="C5" s="5"/>
      <c r="D5" s="5"/>
      <c r="H5" s="9" t="s">
        <v>5</v>
      </c>
      <c r="I5" s="10" t="s">
        <v>6</v>
      </c>
      <c r="J5" s="10" t="s">
        <v>7</v>
      </c>
      <c r="K5" s="8"/>
      <c r="L5" s="8"/>
      <c r="O5" s="8"/>
    </row>
    <row r="6" spans="1:18" s="6" customFormat="1" ht="25.2" thickBot="1">
      <c r="A6" s="4"/>
      <c r="B6" s="5"/>
      <c r="C6" s="5"/>
      <c r="D6" s="5"/>
      <c r="H6" s="11" t="s">
        <v>8</v>
      </c>
      <c r="I6" s="12">
        <f>COUNTIF(N11:N28,H6)</f>
        <v>3</v>
      </c>
      <c r="J6" s="13">
        <f>+I6/$I$9</f>
        <v>0.5</v>
      </c>
      <c r="K6" s="8"/>
      <c r="L6" s="8"/>
      <c r="O6" s="8"/>
    </row>
    <row r="7" spans="1:18" s="6" customFormat="1" ht="25.2" thickBot="1">
      <c r="A7" s="4"/>
      <c r="B7" s="5"/>
      <c r="C7" s="5"/>
      <c r="D7" s="5"/>
      <c r="H7" s="14" t="s">
        <v>9</v>
      </c>
      <c r="I7" s="14">
        <f>COUNTIF(N11:N28,H7)</f>
        <v>5</v>
      </c>
      <c r="J7" s="15">
        <f>+I7/$I$9</f>
        <v>0.83333333333333337</v>
      </c>
      <c r="K7" s="8"/>
      <c r="L7" s="8"/>
      <c r="O7" s="8"/>
    </row>
    <row r="8" spans="1:18" s="6" customFormat="1" ht="25.2" thickBot="1">
      <c r="A8" s="4"/>
      <c r="B8" s="5"/>
      <c r="C8" s="5"/>
      <c r="D8" s="5"/>
      <c r="H8" s="16" t="s">
        <v>10</v>
      </c>
      <c r="I8" s="16">
        <f>COUNTIF(N11:N28,H8)</f>
        <v>0</v>
      </c>
      <c r="J8" s="17">
        <f>+I8/$I$9</f>
        <v>0</v>
      </c>
      <c r="K8" s="8"/>
      <c r="L8" s="8"/>
      <c r="O8" s="8"/>
    </row>
    <row r="9" spans="1:18" s="6" customFormat="1" ht="25.2" thickBot="1">
      <c r="A9" s="4"/>
      <c r="B9" s="5"/>
      <c r="C9" s="8"/>
      <c r="D9" s="5"/>
      <c r="E9" s="7"/>
      <c r="F9" s="7"/>
      <c r="G9" s="7"/>
      <c r="H9" s="18" t="s">
        <v>11</v>
      </c>
      <c r="I9" s="19">
        <f>COUNTA(H11:H27)</f>
        <v>6</v>
      </c>
      <c r="J9" s="20"/>
      <c r="K9" s="8"/>
      <c r="L9" s="8"/>
      <c r="O9" s="8"/>
    </row>
    <row r="10" spans="1:18" ht="15" thickBot="1"/>
    <row r="11" spans="1:18" s="1" customFormat="1" ht="47.25" customHeight="1">
      <c r="A11" s="21" t="s">
        <v>12</v>
      </c>
      <c r="B11" s="21" t="s">
        <v>13</v>
      </c>
      <c r="C11" s="21" t="s">
        <v>14</v>
      </c>
      <c r="D11" s="21" t="s">
        <v>15</v>
      </c>
      <c r="E11" s="21" t="s">
        <v>16</v>
      </c>
      <c r="F11" s="21" t="s">
        <v>17</v>
      </c>
      <c r="G11" s="21" t="s">
        <v>18</v>
      </c>
      <c r="H11" s="21" t="s">
        <v>19</v>
      </c>
      <c r="I11" s="21" t="s">
        <v>20</v>
      </c>
      <c r="J11" s="21" t="s">
        <v>21</v>
      </c>
      <c r="K11" s="21" t="s">
        <v>0</v>
      </c>
      <c r="L11" s="21" t="s">
        <v>22</v>
      </c>
      <c r="M11" s="21" t="s">
        <v>23</v>
      </c>
      <c r="N11" s="22" t="s">
        <v>24</v>
      </c>
      <c r="O11" s="23" t="s">
        <v>25</v>
      </c>
      <c r="P11" s="24" t="s">
        <v>26</v>
      </c>
      <c r="Q11" s="24" t="s">
        <v>27</v>
      </c>
      <c r="R11" s="25" t="s">
        <v>28</v>
      </c>
    </row>
    <row r="12" spans="1:18" s="32" customFormat="1" ht="51" customHeight="1">
      <c r="A12" s="26">
        <v>1</v>
      </c>
      <c r="B12" s="27" t="s">
        <v>29</v>
      </c>
      <c r="C12" s="28">
        <v>46054</v>
      </c>
      <c r="D12" s="27" t="s">
        <v>30</v>
      </c>
      <c r="E12" s="27" t="s">
        <v>31</v>
      </c>
      <c r="F12" s="27" t="s">
        <v>32</v>
      </c>
      <c r="G12" s="27" t="s">
        <v>33</v>
      </c>
      <c r="H12" s="27"/>
      <c r="I12" s="29" t="s">
        <v>34</v>
      </c>
      <c r="J12" s="30">
        <v>46112</v>
      </c>
      <c r="K12" s="27" t="s">
        <v>35</v>
      </c>
      <c r="L12" s="27">
        <v>2026</v>
      </c>
      <c r="M12" s="29" t="s">
        <v>36</v>
      </c>
      <c r="N12" s="26" t="s">
        <v>9</v>
      </c>
      <c r="O12" s="31"/>
      <c r="P12" s="29"/>
      <c r="Q12" s="29"/>
      <c r="R12" s="29"/>
    </row>
    <row r="13" spans="1:18" s="32" customFormat="1" ht="57.6">
      <c r="A13" s="26">
        <v>2</v>
      </c>
      <c r="B13" s="27" t="s">
        <v>37</v>
      </c>
      <c r="C13" s="28">
        <v>46054</v>
      </c>
      <c r="D13" s="31" t="s">
        <v>38</v>
      </c>
      <c r="E13" s="27" t="s">
        <v>39</v>
      </c>
      <c r="F13" s="27" t="s">
        <v>40</v>
      </c>
      <c r="G13" s="27" t="s">
        <v>41</v>
      </c>
      <c r="H13" s="33" t="s">
        <v>42</v>
      </c>
      <c r="I13" s="29" t="s">
        <v>43</v>
      </c>
      <c r="J13" s="30">
        <v>46112</v>
      </c>
      <c r="K13" s="27" t="s">
        <v>44</v>
      </c>
      <c r="L13" s="27">
        <v>2026</v>
      </c>
      <c r="M13" s="29" t="s">
        <v>45</v>
      </c>
      <c r="N13" s="26" t="s">
        <v>8</v>
      </c>
      <c r="O13" s="27" t="s">
        <v>46</v>
      </c>
      <c r="P13" s="30">
        <v>46106</v>
      </c>
      <c r="Q13" s="29"/>
      <c r="R13" s="29"/>
    </row>
    <row r="14" spans="1:18" s="32" customFormat="1" ht="28.8">
      <c r="A14" s="26">
        <v>3</v>
      </c>
      <c r="B14" s="27" t="s">
        <v>47</v>
      </c>
      <c r="C14" s="28">
        <v>46062</v>
      </c>
      <c r="D14" s="27" t="s">
        <v>48</v>
      </c>
      <c r="E14" s="27" t="s">
        <v>48</v>
      </c>
      <c r="F14" s="29" t="s">
        <v>49</v>
      </c>
      <c r="G14" s="29" t="s">
        <v>50</v>
      </c>
      <c r="H14" s="29" t="s">
        <v>51</v>
      </c>
      <c r="I14" s="29" t="s">
        <v>34</v>
      </c>
      <c r="J14" s="30">
        <v>46112</v>
      </c>
      <c r="K14" s="27"/>
      <c r="L14" s="27">
        <v>2026</v>
      </c>
      <c r="M14" s="29" t="s">
        <v>1</v>
      </c>
      <c r="N14" s="26" t="s">
        <v>9</v>
      </c>
      <c r="O14" s="27"/>
      <c r="P14" s="29"/>
      <c r="Q14" s="29"/>
      <c r="R14" s="29"/>
    </row>
    <row r="15" spans="1:18" s="32" customFormat="1" ht="43.2">
      <c r="A15" s="26">
        <v>4</v>
      </c>
      <c r="B15" s="27" t="s">
        <v>47</v>
      </c>
      <c r="C15" s="28">
        <v>46074</v>
      </c>
      <c r="D15" s="27" t="s">
        <v>52</v>
      </c>
      <c r="E15" s="27" t="s">
        <v>53</v>
      </c>
      <c r="F15" s="29" t="s">
        <v>54</v>
      </c>
      <c r="G15" s="29" t="s">
        <v>55</v>
      </c>
      <c r="H15" s="29"/>
      <c r="I15" s="29" t="s">
        <v>56</v>
      </c>
      <c r="J15" s="30">
        <v>46112</v>
      </c>
      <c r="K15" s="27" t="s">
        <v>57</v>
      </c>
      <c r="L15" s="27">
        <v>2026</v>
      </c>
      <c r="M15" s="29" t="s">
        <v>58</v>
      </c>
      <c r="N15" s="26" t="s">
        <v>8</v>
      </c>
      <c r="O15" s="27" t="s">
        <v>59</v>
      </c>
      <c r="P15" s="29">
        <v>46112</v>
      </c>
      <c r="Q15" s="29"/>
      <c r="R15" s="29"/>
    </row>
    <row r="16" spans="1:18" s="32" customFormat="1" ht="43.2">
      <c r="A16" s="26">
        <v>5</v>
      </c>
      <c r="B16" s="27" t="s">
        <v>47</v>
      </c>
      <c r="C16" s="28">
        <v>46074</v>
      </c>
      <c r="D16" s="27" t="s">
        <v>60</v>
      </c>
      <c r="E16" s="27" t="s">
        <v>61</v>
      </c>
      <c r="F16" s="29" t="s">
        <v>62</v>
      </c>
      <c r="G16" s="29" t="s">
        <v>63</v>
      </c>
      <c r="H16" s="29" t="s">
        <v>64</v>
      </c>
      <c r="I16" s="29" t="s">
        <v>56</v>
      </c>
      <c r="J16" s="30">
        <v>46112</v>
      </c>
      <c r="K16" s="27" t="s">
        <v>65</v>
      </c>
      <c r="L16" s="27">
        <v>2026</v>
      </c>
      <c r="M16" s="29" t="s">
        <v>66</v>
      </c>
      <c r="N16" s="26" t="s">
        <v>9</v>
      </c>
      <c r="O16" s="27"/>
      <c r="P16" s="29"/>
      <c r="Q16" s="29"/>
      <c r="R16" s="29"/>
    </row>
    <row r="17" spans="1:18" s="32" customFormat="1" ht="57.6">
      <c r="A17" s="26">
        <v>6</v>
      </c>
      <c r="B17" s="27" t="s">
        <v>67</v>
      </c>
      <c r="C17" s="28">
        <v>46083</v>
      </c>
      <c r="D17" s="27" t="s">
        <v>68</v>
      </c>
      <c r="E17" s="27" t="s">
        <v>69</v>
      </c>
      <c r="F17" s="29" t="s">
        <v>70</v>
      </c>
      <c r="G17" s="29" t="s">
        <v>70</v>
      </c>
      <c r="H17" s="29" t="s">
        <v>71</v>
      </c>
      <c r="I17" s="29" t="s">
        <v>56</v>
      </c>
      <c r="J17" s="30">
        <v>46112</v>
      </c>
      <c r="K17" s="27" t="s">
        <v>72</v>
      </c>
      <c r="L17" s="27">
        <v>2026</v>
      </c>
      <c r="M17" s="29" t="s">
        <v>2</v>
      </c>
      <c r="N17" s="26" t="s">
        <v>9</v>
      </c>
      <c r="O17" s="27" t="s">
        <v>73</v>
      </c>
      <c r="P17" s="29"/>
      <c r="Q17" s="29"/>
      <c r="R17" s="29"/>
    </row>
    <row r="18" spans="1:18" s="32" customFormat="1" ht="57.6">
      <c r="A18" s="26">
        <v>7</v>
      </c>
      <c r="B18" s="27" t="s">
        <v>74</v>
      </c>
      <c r="C18" s="28">
        <v>46083</v>
      </c>
      <c r="D18" s="27" t="s">
        <v>74</v>
      </c>
      <c r="E18" s="27" t="s">
        <v>75</v>
      </c>
      <c r="F18" s="29" t="s">
        <v>76</v>
      </c>
      <c r="G18" s="29" t="s">
        <v>76</v>
      </c>
      <c r="H18" s="29"/>
      <c r="I18" s="29" t="s">
        <v>56</v>
      </c>
      <c r="J18" s="30">
        <v>46112</v>
      </c>
      <c r="K18" s="27"/>
      <c r="L18" s="27">
        <v>2026</v>
      </c>
      <c r="M18" s="29" t="s">
        <v>2</v>
      </c>
      <c r="N18" s="26" t="s">
        <v>8</v>
      </c>
      <c r="O18" s="27" t="s">
        <v>77</v>
      </c>
      <c r="P18" s="29"/>
      <c r="Q18" s="29"/>
      <c r="R18" s="29"/>
    </row>
    <row r="19" spans="1:18" s="32" customFormat="1" ht="28.8">
      <c r="A19" s="26">
        <v>8</v>
      </c>
      <c r="B19" s="27" t="s">
        <v>78</v>
      </c>
      <c r="C19" s="28">
        <v>46128</v>
      </c>
      <c r="D19" s="27" t="s">
        <v>79</v>
      </c>
      <c r="E19" s="27" t="s">
        <v>80</v>
      </c>
      <c r="F19" s="29" t="s">
        <v>81</v>
      </c>
      <c r="G19" s="29" t="s">
        <v>82</v>
      </c>
      <c r="H19" s="29" t="s">
        <v>83</v>
      </c>
      <c r="I19" s="29" t="s">
        <v>56</v>
      </c>
      <c r="J19" s="30">
        <v>46140</v>
      </c>
      <c r="K19" s="27" t="s">
        <v>84</v>
      </c>
      <c r="L19" s="27">
        <v>2026</v>
      </c>
      <c r="M19" s="29" t="s">
        <v>2</v>
      </c>
      <c r="N19" s="26" t="s">
        <v>9</v>
      </c>
      <c r="O19" s="27"/>
      <c r="P19" s="29"/>
      <c r="Q19" s="29"/>
      <c r="R19" s="29"/>
    </row>
    <row r="20" spans="1:18" s="32" customFormat="1">
      <c r="A20" s="26"/>
      <c r="B20" s="27"/>
      <c r="C20" s="28"/>
      <c r="D20" s="27"/>
      <c r="E20" s="27"/>
      <c r="F20" s="29"/>
      <c r="G20" s="29"/>
      <c r="H20" s="29"/>
      <c r="I20" s="29"/>
      <c r="J20" s="30"/>
      <c r="K20" s="27"/>
      <c r="L20" s="27"/>
      <c r="M20" s="29"/>
      <c r="N20" s="26"/>
      <c r="O20" s="27"/>
      <c r="P20" s="29"/>
      <c r="Q20" s="29"/>
      <c r="R20" s="29"/>
    </row>
    <row r="21" spans="1:18" s="32" customFormat="1">
      <c r="A21" s="26"/>
      <c r="B21" s="27"/>
      <c r="C21" s="28"/>
      <c r="D21" s="27"/>
      <c r="E21" s="27"/>
      <c r="F21" s="29"/>
      <c r="G21" s="29"/>
      <c r="H21" s="29"/>
      <c r="I21" s="29"/>
      <c r="J21" s="30"/>
      <c r="K21" s="27"/>
      <c r="L21" s="27"/>
      <c r="M21" s="29"/>
      <c r="N21" s="26"/>
      <c r="O21" s="27"/>
      <c r="P21" s="29"/>
      <c r="Q21" s="29"/>
      <c r="R21" s="29"/>
    </row>
    <row r="22" spans="1:18" s="32" customFormat="1">
      <c r="A22" s="26"/>
      <c r="B22" s="27"/>
      <c r="C22" s="28"/>
      <c r="D22" s="27"/>
      <c r="E22" s="27"/>
      <c r="F22" s="29"/>
      <c r="G22" s="29"/>
      <c r="H22" s="29"/>
      <c r="I22" s="29"/>
      <c r="J22" s="30"/>
      <c r="K22" s="27"/>
      <c r="L22" s="27"/>
      <c r="M22" s="29"/>
      <c r="N22" s="26"/>
      <c r="O22" s="27"/>
      <c r="P22" s="29"/>
      <c r="Q22" s="29"/>
      <c r="R22" s="29"/>
    </row>
    <row r="23" spans="1:18" s="32" customFormat="1">
      <c r="A23" s="26"/>
      <c r="B23" s="27"/>
      <c r="C23" s="28"/>
      <c r="D23" s="27"/>
      <c r="E23" s="27"/>
      <c r="F23" s="29"/>
      <c r="G23" s="29"/>
      <c r="H23" s="29"/>
      <c r="I23" s="29"/>
      <c r="J23" s="30"/>
      <c r="K23" s="27"/>
      <c r="L23" s="27"/>
      <c r="M23" s="29"/>
      <c r="N23" s="26"/>
      <c r="O23" s="27"/>
      <c r="P23" s="29"/>
      <c r="Q23" s="29"/>
      <c r="R23" s="29"/>
    </row>
    <row r="24" spans="1:18" s="32" customFormat="1">
      <c r="A24" s="26"/>
      <c r="B24" s="27"/>
      <c r="C24" s="28"/>
      <c r="D24" s="27"/>
      <c r="E24" s="27"/>
      <c r="F24" s="29"/>
      <c r="G24" s="29"/>
      <c r="H24" s="29"/>
      <c r="I24" s="29"/>
      <c r="J24" s="30"/>
      <c r="K24" s="27"/>
      <c r="L24" s="27"/>
      <c r="M24" s="29"/>
      <c r="N24" s="26"/>
      <c r="O24" s="27"/>
      <c r="P24" s="29"/>
      <c r="Q24" s="29"/>
      <c r="R24" s="29"/>
    </row>
    <row r="25" spans="1:18">
      <c r="A25" s="34"/>
      <c r="B25" s="35"/>
      <c r="C25" s="35"/>
      <c r="D25" s="35"/>
      <c r="E25" s="36"/>
      <c r="F25" s="36"/>
      <c r="G25" s="36"/>
      <c r="H25" s="36"/>
      <c r="I25" s="36"/>
      <c r="J25" s="36"/>
      <c r="K25" s="35"/>
      <c r="L25" s="35"/>
      <c r="M25" s="36"/>
      <c r="N25" s="37"/>
      <c r="O25" s="35"/>
      <c r="P25" s="36"/>
      <c r="Q25" s="36"/>
      <c r="R25" s="36"/>
    </row>
    <row r="26" spans="1:18">
      <c r="A26" s="34"/>
      <c r="B26" s="35"/>
      <c r="C26" s="35"/>
      <c r="D26" s="35"/>
      <c r="E26" s="36"/>
      <c r="F26" s="36"/>
      <c r="G26" s="36"/>
      <c r="H26" s="36"/>
      <c r="I26" s="36"/>
      <c r="J26" s="36"/>
      <c r="K26" s="35"/>
      <c r="L26" s="35"/>
      <c r="M26" s="36"/>
      <c r="N26" s="37"/>
      <c r="O26" s="35"/>
      <c r="P26" s="36"/>
      <c r="Q26" s="36"/>
      <c r="R26" s="36"/>
    </row>
    <row r="27" spans="1:18">
      <c r="A27" s="34"/>
      <c r="B27" s="35"/>
      <c r="C27" s="35"/>
      <c r="D27" s="35"/>
      <c r="E27" s="36"/>
      <c r="F27" s="36"/>
      <c r="G27" s="36"/>
      <c r="H27" s="36"/>
      <c r="I27" s="36"/>
      <c r="J27" s="36"/>
      <c r="K27" s="35"/>
      <c r="L27" s="35"/>
      <c r="M27" s="36"/>
      <c r="N27" s="37"/>
      <c r="O27" s="35"/>
      <c r="P27" s="36"/>
      <c r="Q27" s="36"/>
      <c r="R27" s="36"/>
    </row>
    <row r="28" spans="1:18">
      <c r="A28" s="34"/>
      <c r="B28" s="35"/>
      <c r="C28" s="35"/>
      <c r="D28" s="35"/>
      <c r="E28" s="36"/>
      <c r="F28" s="36"/>
      <c r="G28" s="36"/>
      <c r="H28" s="36"/>
      <c r="I28" s="36"/>
      <c r="J28" s="36"/>
      <c r="K28" s="35"/>
      <c r="L28" s="35"/>
      <c r="M28" s="36"/>
      <c r="N28" s="37"/>
      <c r="O28" s="35"/>
      <c r="P28" s="36"/>
      <c r="Q28" s="36"/>
      <c r="R28" s="36"/>
    </row>
    <row r="29" spans="1:18">
      <c r="A29" s="34"/>
      <c r="B29" s="35"/>
      <c r="C29" s="35"/>
      <c r="D29" s="35"/>
      <c r="E29" s="36"/>
      <c r="F29" s="36"/>
      <c r="G29" s="36"/>
      <c r="H29" s="36"/>
      <c r="I29" s="36"/>
      <c r="J29" s="36"/>
      <c r="K29" s="35"/>
      <c r="L29" s="35"/>
      <c r="M29" s="36"/>
      <c r="N29" s="37"/>
      <c r="O29" s="35"/>
      <c r="P29" s="36"/>
      <c r="Q29" s="36"/>
      <c r="R29" s="36"/>
    </row>
    <row r="30" spans="1:18">
      <c r="A30" s="34"/>
      <c r="B30" s="35"/>
      <c r="C30" s="35"/>
      <c r="D30" s="35"/>
      <c r="E30" s="36"/>
      <c r="F30" s="36"/>
      <c r="G30" s="36"/>
      <c r="H30" s="36"/>
      <c r="I30" s="36"/>
      <c r="J30" s="36"/>
      <c r="K30" s="35"/>
      <c r="L30" s="35"/>
      <c r="M30" s="36"/>
      <c r="N30" s="37"/>
      <c r="O30" s="35"/>
      <c r="P30" s="36"/>
      <c r="Q30" s="36"/>
      <c r="R30" s="36"/>
    </row>
  </sheetData>
  <mergeCells count="1">
    <mergeCell ref="E2:L3"/>
  </mergeCells>
  <conditionalFormatting sqref="N12:N14 N25:N30">
    <cfRule type="containsText" dxfId="17" priority="15" operator="containsText" text="Non Exécutée">
      <formula>NOT(ISERROR(SEARCH("Non Exécutée",N12)))</formula>
    </cfRule>
    <cfRule type="containsText" dxfId="16" priority="16" operator="containsText" text="A démarrer">
      <formula>NOT(ISERROR(SEARCH("A démarrer",N12)))</formula>
    </cfRule>
    <cfRule type="containsText" dxfId="15" priority="17" operator="containsText" text="Exécutée">
      <formula>NOT(ISERROR(SEARCH("Exécutée",N12)))</formula>
    </cfRule>
    <cfRule type="containsText" dxfId="14" priority="18" operator="containsText" text="En cours">
      <formula>NOT(ISERROR(SEARCH("En cours",N12)))</formula>
    </cfRule>
  </conditionalFormatting>
  <conditionalFormatting sqref="N12:N14 N25:N30">
    <cfRule type="containsText" dxfId="13" priority="10" operator="containsText" text="En cours">
      <formula>NOT(ISERROR(SEARCH("En cours",N12)))</formula>
    </cfRule>
    <cfRule type="containsText" dxfId="12" priority="11" operator="containsText" text="Non Exécutée">
      <formula>NOT(ISERROR(SEARCH("Non Exécutée",N12)))</formula>
    </cfRule>
    <cfRule type="containsText" dxfId="11" priority="12" operator="containsText" text="Exécutée">
      <formula>NOT(ISERROR(SEARCH("Exécutée",N12)))</formula>
    </cfRule>
    <cfRule type="containsText" dxfId="10" priority="13" operator="containsText" text="Exécutée">
      <formula>NOT(ISERROR(SEARCH("Exécutée",N12)))</formula>
    </cfRule>
    <cfRule type="containsText" dxfId="9" priority="14" operator="containsText" text="NA">
      <formula>NOT(ISERROR(SEARCH("NA",N12)))</formula>
    </cfRule>
  </conditionalFormatting>
  <conditionalFormatting sqref="N15:N24">
    <cfRule type="containsText" dxfId="8" priority="6" operator="containsText" text="Non Exécutée">
      <formula>NOT(ISERROR(SEARCH("Non Exécutée",N15)))</formula>
    </cfRule>
    <cfRule type="containsText" dxfId="7" priority="7" operator="containsText" text="A démarrer">
      <formula>NOT(ISERROR(SEARCH("A démarrer",N15)))</formula>
    </cfRule>
    <cfRule type="containsText" dxfId="6" priority="8" operator="containsText" text="Exécutée">
      <formula>NOT(ISERROR(SEARCH("Exécutée",N15)))</formula>
    </cfRule>
    <cfRule type="containsText" dxfId="5" priority="9" operator="containsText" text="En cours">
      <formula>NOT(ISERROR(SEARCH("En cours",N15)))</formula>
    </cfRule>
  </conditionalFormatting>
  <conditionalFormatting sqref="N15:N24">
    <cfRule type="containsText" dxfId="4" priority="1" operator="containsText" text="En cours">
      <formula>NOT(ISERROR(SEARCH("En cours",N15)))</formula>
    </cfRule>
    <cfRule type="containsText" dxfId="3" priority="2" operator="containsText" text="Non Exécutée">
      <formula>NOT(ISERROR(SEARCH("Non Exécutée",N15)))</formula>
    </cfRule>
    <cfRule type="containsText" dxfId="2" priority="3" operator="containsText" text="Exécutée">
      <formula>NOT(ISERROR(SEARCH("Exécutée",N15)))</formula>
    </cfRule>
    <cfRule type="containsText" dxfId="1" priority="4" operator="containsText" text="Exécutée">
      <formula>NOT(ISERROR(SEARCH("Exécutée",N15)))</formula>
    </cfRule>
    <cfRule type="containsText" dxfId="0" priority="5" operator="containsText" text="NA">
      <formula>NOT(ISERROR(SEARCH("NA",N15)))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DAI</vt:lpstr>
      <vt:lpstr>PAC DCPO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TheBuilderEmerick</cp:lastModifiedBy>
  <dcterms:created xsi:type="dcterms:W3CDTF">2025-11-25T19:03:06Z</dcterms:created>
  <dcterms:modified xsi:type="dcterms:W3CDTF">2026-05-19T10:14:09Z</dcterms:modified>
</cp:coreProperties>
</file>